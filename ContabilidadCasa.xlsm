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VERSIONES GIT\Contabilidad_Casa\"/>
    </mc:Choice>
  </mc:AlternateContent>
  <xr:revisionPtr revIDLastSave="0" documentId="13_ncr:1_{F121DCDF-6038-4CE2-A7FB-BB1921ABEDB9}" xr6:coauthVersionLast="45" xr6:coauthVersionMax="45" xr10:uidLastSave="{00000000-0000-0000-0000-000000000000}"/>
  <bookViews>
    <workbookView xWindow="-120" yWindow="-120" windowWidth="25440" windowHeight="15390" activeTab="1" xr2:uid="{00000000-000D-0000-FFFF-FFFF00000000}"/>
  </bookViews>
  <sheets>
    <sheet name="Registro" sheetId="1" r:id="rId1"/>
    <sheet name="bdDiarios" sheetId="2" r:id="rId2"/>
    <sheet name="Hoja2" sheetId="7" r:id="rId3"/>
    <sheet name="Hoja1" sheetId="6" r:id="rId4"/>
    <sheet name="bdIndustria" sheetId="3" r:id="rId5"/>
    <sheet name="Ajustes" sheetId="5" r:id="rId6"/>
    <sheet name="auxiliares" sheetId="4" r:id="rId7"/>
  </sheets>
  <definedNames>
    <definedName name="lDetalle">detalles[Detalle]</definedName>
    <definedName name="lPagadores">pagadores[Pagadores]</definedName>
    <definedName name="TablaPrueba">Tabla7[#All]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" i="2" l="1"/>
  <c r="G23" i="2" l="1"/>
  <c r="E3" i="7" l="1"/>
  <c r="E15" i="7"/>
  <c r="G16" i="2" l="1"/>
  <c r="A27" i="4" l="1"/>
  <c r="A13" i="4"/>
  <c r="B4" i="5" l="1"/>
  <c r="D27" i="4" l="1"/>
  <c r="D13" i="4"/>
</calcChain>
</file>

<file path=xl/sharedStrings.xml><?xml version="1.0" encoding="utf-8"?>
<sst xmlns="http://schemas.openxmlformats.org/spreadsheetml/2006/main" count="226" uniqueCount="58">
  <si>
    <t>REGISTRO DE GASTOS DIARIOS</t>
  </si>
  <si>
    <t>Fecha</t>
  </si>
  <si>
    <t>Detalle</t>
  </si>
  <si>
    <t>Pagador</t>
  </si>
  <si>
    <t>Observaciones</t>
  </si>
  <si>
    <t>Monto</t>
  </si>
  <si>
    <t>CONTABILIDAD CASA</t>
  </si>
  <si>
    <t>REGISTRO GASTOS INDUSTRIA 311</t>
  </si>
  <si>
    <t>Pagadores</t>
  </si>
  <si>
    <t>Ingrid</t>
  </si>
  <si>
    <t>Jose Luis</t>
  </si>
  <si>
    <t>Vanessa</t>
  </si>
  <si>
    <t>Ditssy</t>
  </si>
  <si>
    <t>Tony</t>
  </si>
  <si>
    <t>Supermercado</t>
  </si>
  <si>
    <t>Restaurante</t>
  </si>
  <si>
    <t>Gastos Vanessa</t>
  </si>
  <si>
    <t>Varios</t>
  </si>
  <si>
    <t>20/09/2019</t>
  </si>
  <si>
    <t>ggfhfg</t>
  </si>
  <si>
    <t>ghgfhgf</t>
  </si>
  <si>
    <t>fsdfds</t>
  </si>
  <si>
    <t>21/09/2019</t>
  </si>
  <si>
    <t>dfgfdgfd</t>
  </si>
  <si>
    <t>dsffd</t>
  </si>
  <si>
    <t>fghfhgthgt</t>
  </si>
  <si>
    <t>fgdfgrtgetg</t>
  </si>
  <si>
    <t>-.ñ´.ñ´ñ</t>
  </si>
  <si>
    <t>Ajuste Diarios</t>
  </si>
  <si>
    <t>Fecha de Ajuste</t>
  </si>
  <si>
    <t>Total Gasto</t>
  </si>
  <si>
    <t>Gasto Ingrid</t>
  </si>
  <si>
    <t>Gasto Luis</t>
  </si>
  <si>
    <t>Diferencia</t>
  </si>
  <si>
    <t>`lopkop</t>
  </si>
  <si>
    <t>Hoja de Ajustes</t>
  </si>
  <si>
    <t>Fecha del ult. Ajus.</t>
  </si>
  <si>
    <t>Alquiler</t>
  </si>
  <si>
    <t>Alquiler + Parking</t>
  </si>
  <si>
    <t>Agua</t>
  </si>
  <si>
    <t>Luz</t>
  </si>
  <si>
    <t>Gas</t>
  </si>
  <si>
    <t>Movil Vanessa</t>
  </si>
  <si>
    <t>Movil Ingrid</t>
  </si>
  <si>
    <t>Telefono + Internet</t>
  </si>
  <si>
    <t>Ajuste Alquiler Diarios</t>
  </si>
  <si>
    <t>Ajuste Alquiler General</t>
  </si>
  <si>
    <t>efrfr</t>
  </si>
  <si>
    <t>htht</t>
  </si>
  <si>
    <t>22/09/2019</t>
  </si>
  <si>
    <t>kiujuyj</t>
  </si>
  <si>
    <t>Gundaghvsa</t>
  </si>
  <si>
    <t>yjhty</t>
  </si>
  <si>
    <t>A Cuenta</t>
  </si>
  <si>
    <t>Pago Ingrid</t>
  </si>
  <si>
    <t>&lt;&gt;A Cuenta</t>
  </si>
  <si>
    <t>b3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</si>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</sst>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[$€-2]\ #,##0.00;[Red]\-[$€-2]\ #,##0.00"/>
    <numFmt numFmtId="165" formatCode="#,##0.00\ &quot;€&quot;"/>
  </numFmts>
  <fonts count="11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1"/>
      <name val="Abadi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4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Fill="1" applyBorder="1"/>
    <xf numFmtId="0" fontId="5" fillId="0" borderId="0" xfId="0" applyFont="1"/>
    <xf numFmtId="0" fontId="5" fillId="0" borderId="2" xfId="0" applyFont="1" applyBorder="1"/>
    <xf numFmtId="14" fontId="6" fillId="0" borderId="2" xfId="0" applyNumberFormat="1" applyFont="1" applyBorder="1"/>
    <xf numFmtId="0" fontId="5" fillId="0" borderId="2" xfId="0" applyFont="1" applyBorder="1" applyAlignment="1">
      <alignment horizontal="center"/>
    </xf>
    <xf numFmtId="44" fontId="6" fillId="0" borderId="2" xfId="0" applyNumberFormat="1" applyFont="1" applyBorder="1"/>
    <xf numFmtId="44" fontId="0" fillId="0" borderId="0" xfId="0" applyNumberFormat="1"/>
    <xf numFmtId="0" fontId="7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/>
    <xf numFmtId="0" fontId="0" fillId="4" borderId="4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44" fontId="0" fillId="0" borderId="7" xfId="0" applyNumberForma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44" fontId="0" fillId="0" borderId="13" xfId="0" applyNumberFormat="1" applyBorder="1" applyAlignment="1">
      <alignment horizontal="center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44" fontId="0" fillId="0" borderId="0" xfId="1" applyFont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165" fontId="0" fillId="4" borderId="15" xfId="0" applyNumberFormat="1" applyFont="1" applyFill="1" applyBorder="1" applyAlignment="1">
      <alignment horizontal="center"/>
    </xf>
    <xf numFmtId="165" fontId="0" fillId="0" borderId="15" xfId="0" applyNumberFormat="1" applyFont="1" applyBorder="1" applyAlignment="1">
      <alignment horizontal="center"/>
    </xf>
    <xf numFmtId="165" fontId="0" fillId="0" borderId="0" xfId="0" applyNumberFormat="1"/>
  </cellXfs>
  <cellStyles count="2">
    <cellStyle name="Moneda" xfId="1" builtinId="4"/>
    <cellStyle name="Normal" xfId="0" builtinId="0"/>
  </cellStyles>
  <dxfs count="2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34" formatCode="_-* #,##0.00\ &quot;€&quot;_-;\-* #,##0.00\ &quot;€&quot;_-;_-* &quot;-&quot;??\ &quot;€&quot;_-;_-@_-"/>
    </dxf>
    <dxf>
      <numFmt numFmtId="19" formatCode="dd/mm/yyyy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#,##0.00\ &quot;€&quot;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D9CCF9-7B9D-4FFD-94FF-7626257C1B13}" name="Tabla7" displayName="Tabla7" ref="A3:E13" totalsRowShown="0" headerRowDxfId="23" dataDxfId="22">
  <autoFilter ref="A3:E13" xr:uid="{A61D66FE-CE72-410A-94D2-9D014BA46D52}"/>
  <sortState xmlns:xlrd2="http://schemas.microsoft.com/office/spreadsheetml/2017/richdata2" ref="A4:E13">
    <sortCondition descending="1" ref="A3:A13"/>
  </sortState>
  <tableColumns count="5">
    <tableColumn id="1" xr3:uid="{C26FD95D-E654-4F9E-A4FF-9544AF99F072}" name="Fecha" dataDxfId="21"/>
    <tableColumn id="2" xr3:uid="{A22DCF38-478C-4161-9EDB-8DDA1908819C}" name="Detalle" dataDxfId="20"/>
    <tableColumn id="3" xr3:uid="{4366F45E-693E-4EA8-A306-966DFA7C848D}" name="Pagador" dataDxfId="19"/>
    <tableColumn id="4" xr3:uid="{CF01C82E-F4D3-4472-8CF6-06B6B725B66E}" name="Monto" dataDxfId="18"/>
    <tableColumn id="5" xr3:uid="{195A682A-80E3-48D6-A520-4862F10CFA6C}" name="Observacion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25CFCE3-2509-4FCA-B362-A5C75DFCA5C3}" name="Tabla5" displayName="Tabla5" ref="A2:C27" totalsRowShown="0" headerRowDxfId="17" headerRowBorderDxfId="16" tableBorderDxfId="15" totalsRowBorderDxfId="14">
  <autoFilter ref="A2:C27" xr:uid="{5B40D889-DD05-4DBD-A3F0-CBC162B61FB0}"/>
  <tableColumns count="3">
    <tableColumn id="1" xr3:uid="{FD1BFC15-28E5-4AF8-809E-1D82446A9AE2}" name="Fecha" dataDxfId="13"/>
    <tableColumn id="2" xr3:uid="{A614E36C-CA4C-48DD-930A-D3C70347BAF0}" name="Nombre" dataDxfId="12"/>
    <tableColumn id="3" xr3:uid="{1507DF07-F36E-49F3-885B-6EE0024D902F}" name="Monto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9C29A9-C9B6-496D-A1AA-08E4DD0B6479}" name="Tabla6" displayName="Tabla6" ref="A3:E28" totalsRowShown="0">
  <autoFilter ref="A3:E28" xr:uid="{29EF36B4-BFE3-4B1A-8385-A08E16093DE8}"/>
  <sortState xmlns:xlrd2="http://schemas.microsoft.com/office/spreadsheetml/2017/richdata2" ref="A4:E28">
    <sortCondition descending="1" ref="C3:C28"/>
  </sortState>
  <tableColumns count="5">
    <tableColumn id="1" xr3:uid="{D51816E9-4D74-4C92-B181-F676CEE7836D}" name="Fecha" dataDxfId="10"/>
    <tableColumn id="2" xr3:uid="{98CF30F5-E650-444D-B8C7-06187784A0F8}" name="Detalle"/>
    <tableColumn id="3" xr3:uid="{0B43148B-804A-4782-B40B-A394CE81BA56}" name="Pagador"/>
    <tableColumn id="4" xr3:uid="{6182DA0D-611C-4FFB-B5CE-F5614D52816D}" name="Monto" dataDxfId="9"/>
    <tableColumn id="5" xr3:uid="{8526D0A8-ADFA-4987-9865-40F20DE174EE}" name="Observacion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CA016E-C3E6-4CAC-AAEE-2DE81CC6D25A}" name="registroIndustria" displayName="registroIndustria" ref="A3:E4" insertRow="1" totalsRowShown="0" headerRowDxfId="8" headerRowBorderDxfId="7" tableBorderDxfId="6">
  <autoFilter ref="A3:E4" xr:uid="{4BF1A2E8-3475-4E2F-BAB6-72D7848DB8E7}"/>
  <tableColumns count="5">
    <tableColumn id="1" xr3:uid="{BD2F3A04-A0E2-4B4C-BE1E-E35843705817}" name="Fecha"/>
    <tableColumn id="2" xr3:uid="{883BB3C7-C1EC-4FD9-90D0-27C36AA7A9AF}" name="Detalle"/>
    <tableColumn id="3" xr3:uid="{FF03BE8B-1A39-4DEA-BE48-95C52C60E9A4}" name="Pagador"/>
    <tableColumn id="4" xr3:uid="{5BD53B79-A762-401D-A09A-377BD1FC1ECA}" name="Monto"/>
    <tableColumn id="5" xr3:uid="{650E2AB7-B320-4916-9DCB-8527C3E705D0}" name="Observaciones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BF289D-DDA5-4897-B9C0-56FA39330AD1}" name="pagadores" displayName="pagadores" ref="A1:A6" totalsRowShown="0" headerRowDxfId="5" dataDxfId="4">
  <autoFilter ref="A1:A6" xr:uid="{EE17CDB9-C409-41DB-9B77-8E2F52251271}"/>
  <tableColumns count="1">
    <tableColumn id="1" xr3:uid="{7EC3BB9E-5322-4EDA-96D7-06CD15D45421}" name="Pagadores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5972EA-D007-4A44-9D88-A3BD4153F4F0}" name="detalles" displayName="detalles" ref="C1:C7" totalsRowShown="0" headerRowDxfId="2" dataDxfId="1">
  <autoFilter ref="C1:C7" xr:uid="{4F6D18D2-240E-4D8E-A9AF-64094EBF24C9}"/>
  <tableColumns count="1">
    <tableColumn id="1" xr3:uid="{68E15170-F49F-4026-BBB9-471244C4D211}" name="Detal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"/>
  <sheetViews>
    <sheetView workbookViewId="0">
      <selection activeCell="G12" sqref="G12"/>
    </sheetView>
  </sheetViews>
  <sheetFormatPr baseColWidth="10" defaultColWidth="9.140625" defaultRowHeight="15" x14ac:dyDescent="0.25"/>
  <sheetData>
    <row r="2" spans="1:1" x14ac:dyDescent="0.25">
      <c r="A2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348AB-6AAA-42D5-9B54-2011D95F7B5B}">
  <sheetPr codeName="Hoja2"/>
  <dimension ref="A1:L23"/>
  <sheetViews>
    <sheetView tabSelected="1" workbookViewId="0">
      <selection activeCell="K3" sqref="K3"/>
    </sheetView>
  </sheetViews>
  <sheetFormatPr baseColWidth="10" defaultRowHeight="15" x14ac:dyDescent="0.25"/>
  <cols>
    <col min="1" max="1" width="14.5703125" customWidth="1"/>
    <col min="2" max="2" width="20.85546875" customWidth="1"/>
    <col min="3" max="3" width="18.28515625" customWidth="1"/>
    <col min="4" max="4" width="23" customWidth="1"/>
    <col min="5" max="5" width="40.85546875" customWidth="1"/>
    <col min="10" max="10" width="15.42578125" customWidth="1"/>
    <col min="11" max="11" width="18.5703125" customWidth="1"/>
  </cols>
  <sheetData>
    <row r="1" spans="1:10" ht="28.5" x14ac:dyDescent="0.45">
      <c r="A1" s="36" t="s">
        <v>0</v>
      </c>
      <c r="B1" s="36"/>
      <c r="C1" s="36"/>
      <c r="D1" s="36"/>
      <c r="E1" s="36"/>
    </row>
    <row r="2" spans="1:10" x14ac:dyDescent="0.25">
      <c r="J2" s="38">
        <v>125</v>
      </c>
    </row>
    <row r="3" spans="1:10" x14ac:dyDescent="0.25">
      <c r="A3" s="2" t="s">
        <v>1</v>
      </c>
      <c r="B3" s="2" t="s">
        <v>2</v>
      </c>
      <c r="C3" s="2" t="s">
        <v>3</v>
      </c>
      <c r="D3" s="2" t="s">
        <v>5</v>
      </c>
      <c r="E3" s="2" t="s">
        <v>4</v>
      </c>
      <c r="J3" s="39">
        <v>85</v>
      </c>
    </row>
    <row r="4" spans="1:10" x14ac:dyDescent="0.25">
      <c r="A4" s="29">
        <v>43732</v>
      </c>
      <c r="B4" s="30" t="s">
        <v>14</v>
      </c>
      <c r="C4" s="2" t="s">
        <v>9</v>
      </c>
      <c r="D4" s="31">
        <v>125</v>
      </c>
      <c r="J4" s="38">
        <v>120</v>
      </c>
    </row>
    <row r="5" spans="1:10" x14ac:dyDescent="0.25">
      <c r="A5" s="29">
        <v>43732</v>
      </c>
      <c r="B5" s="30" t="s">
        <v>14</v>
      </c>
      <c r="C5" s="2" t="s">
        <v>9</v>
      </c>
      <c r="D5" s="31">
        <v>85</v>
      </c>
      <c r="J5" s="40">
        <f>SUM(J2:J4)</f>
        <v>330</v>
      </c>
    </row>
    <row r="6" spans="1:10" x14ac:dyDescent="0.25">
      <c r="A6" s="29">
        <v>43732</v>
      </c>
      <c r="B6" s="30" t="s">
        <v>14</v>
      </c>
      <c r="C6" s="2" t="s">
        <v>9</v>
      </c>
      <c r="D6" s="31">
        <v>120</v>
      </c>
    </row>
    <row r="7" spans="1:10" x14ac:dyDescent="0.25">
      <c r="A7" s="29">
        <v>43731</v>
      </c>
      <c r="B7" s="30" t="s">
        <v>14</v>
      </c>
      <c r="C7" s="2" t="s">
        <v>10</v>
      </c>
      <c r="D7" s="31">
        <v>98</v>
      </c>
    </row>
    <row r="8" spans="1:10" x14ac:dyDescent="0.25">
      <c r="A8" s="29">
        <v>43730</v>
      </c>
      <c r="B8" s="30" t="s">
        <v>14</v>
      </c>
      <c r="C8" s="2" t="s">
        <v>9</v>
      </c>
      <c r="D8" s="31">
        <v>58</v>
      </c>
    </row>
    <row r="9" spans="1:10" x14ac:dyDescent="0.25">
      <c r="A9" s="29">
        <v>43729</v>
      </c>
      <c r="B9" s="30" t="s">
        <v>14</v>
      </c>
      <c r="C9" s="2" t="s">
        <v>10</v>
      </c>
      <c r="D9" s="31">
        <v>87</v>
      </c>
    </row>
    <row r="10" spans="1:10" x14ac:dyDescent="0.25">
      <c r="A10" s="29">
        <v>43729</v>
      </c>
      <c r="B10" s="30" t="s">
        <v>14</v>
      </c>
      <c r="C10" s="2" t="s">
        <v>9</v>
      </c>
      <c r="D10" s="31">
        <v>98</v>
      </c>
    </row>
    <row r="11" spans="1:10" x14ac:dyDescent="0.25">
      <c r="A11" s="29">
        <v>43728</v>
      </c>
      <c r="B11" s="30" t="s">
        <v>15</v>
      </c>
      <c r="C11" s="2" t="s">
        <v>9</v>
      </c>
      <c r="D11" s="31">
        <v>65</v>
      </c>
    </row>
    <row r="12" spans="1:10" x14ac:dyDescent="0.25">
      <c r="A12" s="29">
        <v>43727</v>
      </c>
      <c r="B12" s="30" t="s">
        <v>14</v>
      </c>
      <c r="C12" s="2" t="s">
        <v>10</v>
      </c>
      <c r="D12" s="31">
        <v>58</v>
      </c>
    </row>
    <row r="13" spans="1:10" x14ac:dyDescent="0.25">
      <c r="A13" s="29">
        <v>43727</v>
      </c>
      <c r="B13" s="30" t="s">
        <v>14</v>
      </c>
      <c r="C13" s="2" t="s">
        <v>10</v>
      </c>
      <c r="D13" s="31">
        <v>65</v>
      </c>
    </row>
    <row r="14" spans="1:10" x14ac:dyDescent="0.25">
      <c r="B14" s="3"/>
    </row>
    <row r="16" spans="1:10" x14ac:dyDescent="0.25">
      <c r="G16" s="35">
        <f>DSUM(TablaPrueba,"Monto",$G$22:$L$23)</f>
        <v>330</v>
      </c>
    </row>
    <row r="22" spans="7:12" x14ac:dyDescent="0.25">
      <c r="G22" s="32" t="s">
        <v>1</v>
      </c>
      <c r="H22" s="33" t="s">
        <v>2</v>
      </c>
      <c r="I22" s="33" t="s">
        <v>3</v>
      </c>
      <c r="J22" s="33" t="s">
        <v>5</v>
      </c>
      <c r="K22" s="34" t="s">
        <v>4</v>
      </c>
      <c r="L22" s="32" t="s">
        <v>1</v>
      </c>
    </row>
    <row r="23" spans="7:12" x14ac:dyDescent="0.25">
      <c r="G23" t="str">
        <f>"&gt;=24/09/2019"</f>
        <v>&gt;=24/09/2019</v>
      </c>
      <c r="I23" t="s">
        <v>9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6ED94-92B4-4577-9C30-7F5776268836}">
  <sheetPr codeName="Hoja6"/>
  <dimension ref="A2:H28"/>
  <sheetViews>
    <sheetView workbookViewId="0">
      <selection activeCell="A3" sqref="A3"/>
    </sheetView>
  </sheetViews>
  <sheetFormatPr baseColWidth="10" defaultRowHeight="15" x14ac:dyDescent="0.25"/>
  <cols>
    <col min="1" max="1" width="10.7109375" bestFit="1" customWidth="1"/>
    <col min="2" max="2" width="14.28515625" customWidth="1"/>
    <col min="3" max="3" width="13.7109375" customWidth="1"/>
    <col min="5" max="5" width="11.7109375" bestFit="1" customWidth="1"/>
    <col min="8" max="8" width="12.7109375" bestFit="1" customWidth="1"/>
  </cols>
  <sheetData>
    <row r="2" spans="1:8" x14ac:dyDescent="0.25">
      <c r="A2" s="22" t="s">
        <v>1</v>
      </c>
      <c r="B2" s="23" t="s">
        <v>57</v>
      </c>
      <c r="C2" s="24" t="s">
        <v>5</v>
      </c>
      <c r="E2" s="18" t="s">
        <v>1</v>
      </c>
      <c r="F2" s="18" t="s">
        <v>57</v>
      </c>
      <c r="G2" s="18" t="s">
        <v>5</v>
      </c>
      <c r="H2" s="18" t="s">
        <v>1</v>
      </c>
    </row>
    <row r="3" spans="1:8" x14ac:dyDescent="0.25">
      <c r="A3" s="20">
        <v>43486</v>
      </c>
      <c r="B3" s="19" t="s">
        <v>9</v>
      </c>
      <c r="C3" s="21">
        <v>656</v>
      </c>
      <c r="E3" s="16" t="str">
        <f>"&gt;21/01/2019"</f>
        <v>&gt;21/01/2019</v>
      </c>
      <c r="F3" s="2" t="s">
        <v>9</v>
      </c>
    </row>
    <row r="4" spans="1:8" x14ac:dyDescent="0.25">
      <c r="A4" s="20">
        <v>43487</v>
      </c>
      <c r="B4" s="19" t="s">
        <v>10</v>
      </c>
      <c r="C4" s="21">
        <v>65</v>
      </c>
    </row>
    <row r="5" spans="1:8" x14ac:dyDescent="0.25">
      <c r="A5" s="20">
        <v>43488</v>
      </c>
      <c r="B5" s="19" t="s">
        <v>11</v>
      </c>
      <c r="C5" s="21">
        <v>656</v>
      </c>
    </row>
    <row r="6" spans="1:8" x14ac:dyDescent="0.25">
      <c r="A6" s="20">
        <v>43489</v>
      </c>
      <c r="B6" s="19" t="s">
        <v>10</v>
      </c>
      <c r="C6" s="21">
        <v>56</v>
      </c>
    </row>
    <row r="7" spans="1:8" x14ac:dyDescent="0.25">
      <c r="A7" s="20">
        <v>43490</v>
      </c>
      <c r="B7" s="19" t="s">
        <v>10</v>
      </c>
      <c r="C7" s="21">
        <v>65</v>
      </c>
    </row>
    <row r="8" spans="1:8" x14ac:dyDescent="0.25">
      <c r="A8" s="20">
        <v>43491</v>
      </c>
      <c r="B8" s="19" t="s">
        <v>10</v>
      </c>
      <c r="C8" s="21">
        <v>85</v>
      </c>
    </row>
    <row r="9" spans="1:8" x14ac:dyDescent="0.25">
      <c r="A9" s="20">
        <v>43492</v>
      </c>
      <c r="B9" s="19" t="s">
        <v>10</v>
      </c>
      <c r="C9" s="21">
        <v>68</v>
      </c>
    </row>
    <row r="10" spans="1:8" x14ac:dyDescent="0.25">
      <c r="A10" s="20">
        <v>43493</v>
      </c>
      <c r="B10" s="19" t="s">
        <v>11</v>
      </c>
      <c r="C10" s="21">
        <v>65</v>
      </c>
    </row>
    <row r="11" spans="1:8" x14ac:dyDescent="0.25">
      <c r="A11" s="20">
        <v>43494</v>
      </c>
      <c r="B11" s="19" t="s">
        <v>11</v>
      </c>
      <c r="C11" s="21">
        <v>52</v>
      </c>
    </row>
    <row r="12" spans="1:8" x14ac:dyDescent="0.25">
      <c r="A12" s="20">
        <v>43495</v>
      </c>
      <c r="B12" s="19" t="s">
        <v>10</v>
      </c>
      <c r="C12" s="21">
        <v>6582</v>
      </c>
    </row>
    <row r="13" spans="1:8" x14ac:dyDescent="0.25">
      <c r="A13" s="20">
        <v>43496</v>
      </c>
      <c r="B13" s="19" t="s">
        <v>10</v>
      </c>
      <c r="C13" s="21">
        <v>365</v>
      </c>
    </row>
    <row r="14" spans="1:8" x14ac:dyDescent="0.25">
      <c r="A14" s="20">
        <v>43497</v>
      </c>
      <c r="B14" s="19" t="s">
        <v>9</v>
      </c>
      <c r="C14" s="21">
        <v>58</v>
      </c>
    </row>
    <row r="15" spans="1:8" x14ac:dyDescent="0.25">
      <c r="A15" s="20">
        <v>43498</v>
      </c>
      <c r="B15" s="19" t="s">
        <v>9</v>
      </c>
      <c r="C15" s="21">
        <v>52</v>
      </c>
      <c r="E15">
        <f>DSUM(Tabla5[#All],"Monto",E2:H3)</f>
        <v>808</v>
      </c>
    </row>
    <row r="16" spans="1:8" x14ac:dyDescent="0.25">
      <c r="A16" s="20">
        <v>43499</v>
      </c>
      <c r="B16" s="19" t="s">
        <v>10</v>
      </c>
      <c r="C16" s="21">
        <v>65</v>
      </c>
    </row>
    <row r="17" spans="1:3" x14ac:dyDescent="0.25">
      <c r="A17" s="20">
        <v>43500</v>
      </c>
      <c r="B17" s="19" t="s">
        <v>10</v>
      </c>
      <c r="C17" s="21">
        <v>65</v>
      </c>
    </row>
    <row r="18" spans="1:3" x14ac:dyDescent="0.25">
      <c r="A18" s="20">
        <v>43501</v>
      </c>
      <c r="B18" s="19" t="s">
        <v>13</v>
      </c>
      <c r="C18" s="21">
        <v>365</v>
      </c>
    </row>
    <row r="19" spans="1:3" x14ac:dyDescent="0.25">
      <c r="A19" s="20">
        <v>43502</v>
      </c>
      <c r="B19" s="19" t="s">
        <v>13</v>
      </c>
      <c r="C19" s="21">
        <v>635</v>
      </c>
    </row>
    <row r="20" spans="1:3" x14ac:dyDescent="0.25">
      <c r="A20" s="20">
        <v>43503</v>
      </c>
      <c r="B20" s="19" t="s">
        <v>9</v>
      </c>
      <c r="C20" s="21">
        <v>698</v>
      </c>
    </row>
    <row r="21" spans="1:3" x14ac:dyDescent="0.25">
      <c r="A21" s="20">
        <v>43504</v>
      </c>
      <c r="B21" s="19" t="s">
        <v>11</v>
      </c>
      <c r="C21" s="21">
        <v>95</v>
      </c>
    </row>
    <row r="22" spans="1:3" x14ac:dyDescent="0.25">
      <c r="A22" s="20">
        <v>43505</v>
      </c>
      <c r="B22" s="19" t="s">
        <v>11</v>
      </c>
      <c r="C22" s="21">
        <v>98</v>
      </c>
    </row>
    <row r="23" spans="1:3" x14ac:dyDescent="0.25">
      <c r="A23" s="20">
        <v>43506</v>
      </c>
      <c r="B23" s="19" t="s">
        <v>10</v>
      </c>
      <c r="C23" s="21">
        <v>98</v>
      </c>
    </row>
    <row r="24" spans="1:3" x14ac:dyDescent="0.25">
      <c r="A24" s="20">
        <v>43507</v>
      </c>
      <c r="B24" s="19" t="s">
        <v>10</v>
      </c>
      <c r="C24" s="21">
        <v>69</v>
      </c>
    </row>
    <row r="25" spans="1:3" x14ac:dyDescent="0.25">
      <c r="A25" s="20">
        <v>43508</v>
      </c>
      <c r="B25" s="19" t="s">
        <v>11</v>
      </c>
      <c r="C25" s="21">
        <v>45</v>
      </c>
    </row>
    <row r="26" spans="1:3" x14ac:dyDescent="0.25">
      <c r="A26" s="20">
        <v>43509</v>
      </c>
      <c r="B26" s="19" t="s">
        <v>10</v>
      </c>
      <c r="C26" s="21">
        <v>45</v>
      </c>
    </row>
    <row r="27" spans="1:3" x14ac:dyDescent="0.25">
      <c r="A27" s="25">
        <v>43510</v>
      </c>
      <c r="B27" s="26" t="s">
        <v>11</v>
      </c>
      <c r="C27" s="27">
        <v>32</v>
      </c>
    </row>
    <row r="28" spans="1:3" x14ac:dyDescent="0.25">
      <c r="C28" s="1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FA92F-AE8C-4BF0-97BE-FD650DCD345E}">
  <sheetPr codeName="Hoja7"/>
  <dimension ref="A3:E29"/>
  <sheetViews>
    <sheetView workbookViewId="0">
      <selection activeCell="A4" sqref="A4:A28"/>
    </sheetView>
  </sheetViews>
  <sheetFormatPr baseColWidth="10" defaultRowHeight="15" x14ac:dyDescent="0.25"/>
  <cols>
    <col min="1" max="1" width="12.5703125" bestFit="1" customWidth="1"/>
    <col min="2" max="2" width="14.5703125" bestFit="1" customWidth="1"/>
    <col min="3" max="3" width="19.140625" customWidth="1"/>
    <col min="4" max="4" width="11" bestFit="1" customWidth="1"/>
    <col min="5" max="5" width="29.7109375" bestFit="1" customWidth="1"/>
    <col min="7" max="7" width="12" bestFit="1" customWidth="1"/>
    <col min="9" max="9" width="13.85546875" bestFit="1" customWidth="1"/>
  </cols>
  <sheetData>
    <row r="3" spans="1:5" x14ac:dyDescent="0.25">
      <c r="A3" t="s">
        <v>1</v>
      </c>
      <c r="B3" t="s">
        <v>2</v>
      </c>
      <c r="C3" t="s">
        <v>3</v>
      </c>
      <c r="D3" t="s">
        <v>5</v>
      </c>
      <c r="E3" t="s">
        <v>4</v>
      </c>
    </row>
    <row r="4" spans="1:5" x14ac:dyDescent="0.25">
      <c r="A4" s="28">
        <v>43730</v>
      </c>
      <c r="B4" t="s">
        <v>16</v>
      </c>
      <c r="C4" t="s">
        <v>11</v>
      </c>
      <c r="D4" s="13">
        <v>98</v>
      </c>
      <c r="E4" t="s">
        <v>25</v>
      </c>
    </row>
    <row r="5" spans="1:5" x14ac:dyDescent="0.25">
      <c r="A5" s="16" t="s">
        <v>18</v>
      </c>
      <c r="B5" t="s">
        <v>15</v>
      </c>
      <c r="C5" t="s">
        <v>11</v>
      </c>
      <c r="D5" s="13">
        <v>45</v>
      </c>
      <c r="E5" t="s">
        <v>21</v>
      </c>
    </row>
    <row r="6" spans="1:5" x14ac:dyDescent="0.25">
      <c r="A6" s="16" t="s">
        <v>18</v>
      </c>
      <c r="B6" t="s">
        <v>15</v>
      </c>
      <c r="C6" t="s">
        <v>11</v>
      </c>
      <c r="D6" s="13">
        <v>32</v>
      </c>
      <c r="E6" t="s">
        <v>19</v>
      </c>
    </row>
    <row r="7" spans="1:5" x14ac:dyDescent="0.25">
      <c r="A7" s="16" t="s">
        <v>22</v>
      </c>
      <c r="B7" t="s">
        <v>16</v>
      </c>
      <c r="C7" t="s">
        <v>11</v>
      </c>
      <c r="D7" s="13">
        <v>95</v>
      </c>
    </row>
    <row r="8" spans="1:5" x14ac:dyDescent="0.25">
      <c r="A8" s="16" t="s">
        <v>49</v>
      </c>
      <c r="B8" t="s">
        <v>14</v>
      </c>
      <c r="C8" t="s">
        <v>11</v>
      </c>
      <c r="D8" s="13">
        <v>656</v>
      </c>
    </row>
    <row r="9" spans="1:5" x14ac:dyDescent="0.25">
      <c r="A9" s="16" t="s">
        <v>49</v>
      </c>
      <c r="B9" t="s">
        <v>14</v>
      </c>
      <c r="C9" t="s">
        <v>11</v>
      </c>
      <c r="D9" s="13">
        <v>65</v>
      </c>
      <c r="E9" t="s">
        <v>50</v>
      </c>
    </row>
    <row r="10" spans="1:5" x14ac:dyDescent="0.25">
      <c r="A10" s="16" t="s">
        <v>49</v>
      </c>
      <c r="B10" t="s">
        <v>14</v>
      </c>
      <c r="C10" t="s">
        <v>11</v>
      </c>
      <c r="D10" s="13">
        <v>52</v>
      </c>
    </row>
    <row r="11" spans="1:5" x14ac:dyDescent="0.25">
      <c r="A11" s="16" t="s">
        <v>22</v>
      </c>
      <c r="B11" t="s">
        <v>14</v>
      </c>
      <c r="C11" t="s">
        <v>13</v>
      </c>
      <c r="D11" s="13">
        <v>365</v>
      </c>
      <c r="E11" t="s">
        <v>27</v>
      </c>
    </row>
    <row r="12" spans="1:5" x14ac:dyDescent="0.25">
      <c r="A12" s="16" t="s">
        <v>22</v>
      </c>
      <c r="B12" t="s">
        <v>15</v>
      </c>
      <c r="C12" t="s">
        <v>13</v>
      </c>
      <c r="D12" s="13">
        <v>635</v>
      </c>
    </row>
    <row r="13" spans="1:5" x14ac:dyDescent="0.25">
      <c r="A13" s="16" t="s">
        <v>18</v>
      </c>
      <c r="B13" t="s">
        <v>14</v>
      </c>
      <c r="C13" t="s">
        <v>10</v>
      </c>
      <c r="D13" s="13">
        <v>45</v>
      </c>
      <c r="E13" t="s">
        <v>20</v>
      </c>
    </row>
    <row r="14" spans="1:5" x14ac:dyDescent="0.25">
      <c r="A14" s="16" t="s">
        <v>22</v>
      </c>
      <c r="B14" t="s">
        <v>15</v>
      </c>
      <c r="C14" t="s">
        <v>10</v>
      </c>
      <c r="D14" s="13">
        <v>65</v>
      </c>
      <c r="E14" t="s">
        <v>34</v>
      </c>
    </row>
    <row r="15" spans="1:5" x14ac:dyDescent="0.25">
      <c r="A15" s="16" t="s">
        <v>22</v>
      </c>
      <c r="B15" t="s">
        <v>14</v>
      </c>
      <c r="C15" t="s">
        <v>10</v>
      </c>
      <c r="D15" s="13">
        <v>65</v>
      </c>
    </row>
    <row r="16" spans="1:5" x14ac:dyDescent="0.25">
      <c r="A16" s="16" t="s">
        <v>22</v>
      </c>
      <c r="B16" t="s">
        <v>15</v>
      </c>
      <c r="C16" t="s">
        <v>10</v>
      </c>
      <c r="D16" s="13">
        <v>98</v>
      </c>
      <c r="E16" t="s">
        <v>24</v>
      </c>
    </row>
    <row r="17" spans="1:5" x14ac:dyDescent="0.25">
      <c r="A17" s="16" t="s">
        <v>22</v>
      </c>
      <c r="B17" t="s">
        <v>15</v>
      </c>
      <c r="C17" t="s">
        <v>10</v>
      </c>
      <c r="D17" s="13">
        <v>69</v>
      </c>
      <c r="E17" t="s">
        <v>23</v>
      </c>
    </row>
    <row r="18" spans="1:5" x14ac:dyDescent="0.25">
      <c r="A18" s="16" t="s">
        <v>49</v>
      </c>
      <c r="B18" t="s">
        <v>14</v>
      </c>
      <c r="C18" t="s">
        <v>10</v>
      </c>
      <c r="D18" s="13">
        <v>65</v>
      </c>
      <c r="E18" t="s">
        <v>51</v>
      </c>
    </row>
    <row r="19" spans="1:5" x14ac:dyDescent="0.25">
      <c r="A19" s="16" t="s">
        <v>49</v>
      </c>
      <c r="B19" t="s">
        <v>14</v>
      </c>
      <c r="C19" t="s">
        <v>10</v>
      </c>
      <c r="D19" s="13">
        <v>56</v>
      </c>
    </row>
    <row r="20" spans="1:5" x14ac:dyDescent="0.25">
      <c r="A20" s="16" t="s">
        <v>49</v>
      </c>
      <c r="B20" t="s">
        <v>14</v>
      </c>
      <c r="C20" t="s">
        <v>10</v>
      </c>
      <c r="D20" s="13">
        <v>65</v>
      </c>
    </row>
    <row r="21" spans="1:5" x14ac:dyDescent="0.25">
      <c r="A21" s="16" t="s">
        <v>49</v>
      </c>
      <c r="B21" t="s">
        <v>14</v>
      </c>
      <c r="C21" t="s">
        <v>10</v>
      </c>
      <c r="D21" s="13">
        <v>85</v>
      </c>
    </row>
    <row r="22" spans="1:5" x14ac:dyDescent="0.25">
      <c r="A22" s="16" t="s">
        <v>49</v>
      </c>
      <c r="B22" t="s">
        <v>14</v>
      </c>
      <c r="C22" t="s">
        <v>10</v>
      </c>
      <c r="D22" s="13">
        <v>68</v>
      </c>
    </row>
    <row r="23" spans="1:5" x14ac:dyDescent="0.25">
      <c r="A23" s="16" t="s">
        <v>49</v>
      </c>
      <c r="B23" t="s">
        <v>14</v>
      </c>
      <c r="C23" t="s">
        <v>10</v>
      </c>
      <c r="D23" s="13">
        <v>6582</v>
      </c>
    </row>
    <row r="24" spans="1:5" x14ac:dyDescent="0.25">
      <c r="A24" s="16" t="s">
        <v>49</v>
      </c>
      <c r="B24" t="s">
        <v>14</v>
      </c>
      <c r="C24" t="s">
        <v>10</v>
      </c>
      <c r="D24" s="13">
        <v>365</v>
      </c>
    </row>
    <row r="25" spans="1:5" x14ac:dyDescent="0.25">
      <c r="A25" s="16" t="s">
        <v>22</v>
      </c>
      <c r="B25" t="s">
        <v>15</v>
      </c>
      <c r="C25" t="s">
        <v>9</v>
      </c>
      <c r="D25" s="13">
        <v>58</v>
      </c>
      <c r="E25" t="s">
        <v>48</v>
      </c>
    </row>
    <row r="26" spans="1:5" x14ac:dyDescent="0.25">
      <c r="A26" s="16" t="s">
        <v>22</v>
      </c>
      <c r="B26" t="s">
        <v>14</v>
      </c>
      <c r="C26" t="s">
        <v>9</v>
      </c>
      <c r="D26" s="13">
        <v>52</v>
      </c>
      <c r="E26" t="s">
        <v>47</v>
      </c>
    </row>
    <row r="27" spans="1:5" x14ac:dyDescent="0.25">
      <c r="A27" s="16" t="s">
        <v>22</v>
      </c>
      <c r="B27" t="s">
        <v>16</v>
      </c>
      <c r="C27" t="s">
        <v>9</v>
      </c>
      <c r="D27" s="13">
        <v>698</v>
      </c>
      <c r="E27" t="s">
        <v>26</v>
      </c>
    </row>
    <row r="28" spans="1:5" x14ac:dyDescent="0.25">
      <c r="A28" s="16" t="s">
        <v>49</v>
      </c>
      <c r="B28" t="s">
        <v>14</v>
      </c>
      <c r="C28" t="s">
        <v>9</v>
      </c>
      <c r="D28" s="13">
        <v>656</v>
      </c>
      <c r="E28" t="s">
        <v>52</v>
      </c>
    </row>
    <row r="29" spans="1:5" x14ac:dyDescent="0.25">
      <c r="D29" s="1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4360-C726-40CE-98ED-EF4F3F59B226}">
  <sheetPr codeName="Hoja3"/>
  <dimension ref="A1:E3"/>
  <sheetViews>
    <sheetView workbookViewId="0">
      <selection activeCell="O26" sqref="O26"/>
    </sheetView>
  </sheetViews>
  <sheetFormatPr baseColWidth="10" defaultRowHeight="15" x14ac:dyDescent="0.25"/>
  <cols>
    <col min="1" max="1" width="15.28515625" customWidth="1"/>
    <col min="2" max="2" width="21.7109375" customWidth="1"/>
    <col min="3" max="3" width="21.5703125" customWidth="1"/>
    <col min="4" max="4" width="29.140625" customWidth="1"/>
    <col min="5" max="5" width="33" customWidth="1"/>
  </cols>
  <sheetData>
    <row r="1" spans="1:5" ht="28.5" x14ac:dyDescent="0.45">
      <c r="A1" s="37" t="s">
        <v>7</v>
      </c>
      <c r="B1" s="37"/>
      <c r="C1" s="37"/>
      <c r="D1" s="37"/>
      <c r="E1" s="37"/>
    </row>
    <row r="3" spans="1:5" ht="32.25" thickBot="1" x14ac:dyDescent="0.3">
      <c r="A3" s="1" t="s">
        <v>1</v>
      </c>
      <c r="B3" s="1" t="s">
        <v>2</v>
      </c>
      <c r="C3" s="1" t="s">
        <v>3</v>
      </c>
      <c r="D3" s="1" t="s">
        <v>5</v>
      </c>
      <c r="E3" s="1" t="s">
        <v>4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FE53-2F18-4422-9FAC-570036614F57}">
  <sheetPr codeName="Hoja5"/>
  <dimension ref="A1:E34"/>
  <sheetViews>
    <sheetView workbookViewId="0">
      <selection activeCell="H10" sqref="H10"/>
    </sheetView>
  </sheetViews>
  <sheetFormatPr baseColWidth="10" defaultRowHeight="15" x14ac:dyDescent="0.25"/>
  <cols>
    <col min="1" max="1" width="31.140625" customWidth="1"/>
    <col min="2" max="2" width="21.7109375" customWidth="1"/>
    <col min="3" max="3" width="16.85546875" customWidth="1"/>
  </cols>
  <sheetData>
    <row r="1" spans="1:5" ht="26.25" x14ac:dyDescent="0.4">
      <c r="A1" s="6" t="s">
        <v>35</v>
      </c>
    </row>
    <row r="2" spans="1:5" ht="15.75" thickBot="1" x14ac:dyDescent="0.3"/>
    <row r="3" spans="1:5" ht="24" thickBot="1" x14ac:dyDescent="0.4">
      <c r="A3" s="9" t="s">
        <v>36</v>
      </c>
      <c r="B3" s="10">
        <v>43727</v>
      </c>
      <c r="E3" t="s">
        <v>56</v>
      </c>
    </row>
    <row r="4" spans="1:5" ht="24" thickBot="1" x14ac:dyDescent="0.4">
      <c r="A4" s="9" t="s">
        <v>29</v>
      </c>
      <c r="B4" s="10">
        <f ca="1">TODAY()</f>
        <v>43732</v>
      </c>
    </row>
    <row r="6" spans="1:5" ht="26.25" x14ac:dyDescent="0.4">
      <c r="A6" s="6" t="s">
        <v>28</v>
      </c>
    </row>
    <row r="8" spans="1:5" ht="15.75" thickBot="1" x14ac:dyDescent="0.3"/>
    <row r="9" spans="1:5" ht="24" thickBot="1" x14ac:dyDescent="0.4">
      <c r="A9" s="9" t="s">
        <v>30</v>
      </c>
      <c r="B9" s="11" t="s">
        <v>5</v>
      </c>
      <c r="C9" s="11" t="s">
        <v>33</v>
      </c>
    </row>
    <row r="10" spans="1:5" ht="24" thickBot="1" x14ac:dyDescent="0.4">
      <c r="A10" s="9" t="s">
        <v>31</v>
      </c>
      <c r="B10" s="12"/>
      <c r="C10" s="12"/>
    </row>
    <row r="11" spans="1:5" ht="24" thickBot="1" x14ac:dyDescent="0.4">
      <c r="A11" s="9" t="s">
        <v>32</v>
      </c>
      <c r="B11" s="12"/>
      <c r="C11" s="12"/>
    </row>
    <row r="13" spans="1:5" ht="23.25" x14ac:dyDescent="0.35">
      <c r="A13" s="7" t="s">
        <v>45</v>
      </c>
    </row>
    <row r="14" spans="1:5" ht="15.75" thickBot="1" x14ac:dyDescent="0.3"/>
    <row r="15" spans="1:5" ht="24" thickBot="1" x14ac:dyDescent="0.4">
      <c r="A15" s="11" t="s">
        <v>2</v>
      </c>
      <c r="B15" s="11" t="s">
        <v>5</v>
      </c>
    </row>
    <row r="16" spans="1:5" ht="24" thickBot="1" x14ac:dyDescent="0.4">
      <c r="A16" s="9" t="s">
        <v>38</v>
      </c>
      <c r="B16" s="12"/>
    </row>
    <row r="17" spans="1:2" ht="24" thickBot="1" x14ac:dyDescent="0.4">
      <c r="A17" s="9" t="s">
        <v>39</v>
      </c>
      <c r="B17" s="12"/>
    </row>
    <row r="18" spans="1:2" ht="24" thickBot="1" x14ac:dyDescent="0.4">
      <c r="A18" s="9" t="s">
        <v>40</v>
      </c>
      <c r="B18" s="12"/>
    </row>
    <row r="19" spans="1:2" ht="24" thickBot="1" x14ac:dyDescent="0.4">
      <c r="A19" s="9" t="s">
        <v>41</v>
      </c>
      <c r="B19" s="12"/>
    </row>
    <row r="20" spans="1:2" ht="24" thickBot="1" x14ac:dyDescent="0.4">
      <c r="A20" s="9" t="s">
        <v>42</v>
      </c>
      <c r="B20" s="12"/>
    </row>
    <row r="21" spans="1:2" ht="24" thickBot="1" x14ac:dyDescent="0.4">
      <c r="A21" s="9" t="s">
        <v>43</v>
      </c>
      <c r="B21" s="12"/>
    </row>
    <row r="22" spans="1:2" ht="24" thickBot="1" x14ac:dyDescent="0.4">
      <c r="A22" s="9" t="s">
        <v>44</v>
      </c>
      <c r="B22" s="12"/>
    </row>
    <row r="23" spans="1:2" ht="24" thickBot="1" x14ac:dyDescent="0.4">
      <c r="A23" s="9" t="s">
        <v>17</v>
      </c>
      <c r="B23" s="12"/>
    </row>
    <row r="26" spans="1:2" ht="23.25" x14ac:dyDescent="0.35">
      <c r="A26" s="8" t="s">
        <v>46</v>
      </c>
    </row>
    <row r="27" spans="1:2" ht="15.75" thickBot="1" x14ac:dyDescent="0.3"/>
    <row r="28" spans="1:2" ht="24" thickBot="1" x14ac:dyDescent="0.4">
      <c r="A28" s="11" t="s">
        <v>2</v>
      </c>
      <c r="B28" s="11" t="s">
        <v>5</v>
      </c>
    </row>
    <row r="29" spans="1:2" ht="24" thickBot="1" x14ac:dyDescent="0.4">
      <c r="A29" s="9" t="s">
        <v>37</v>
      </c>
      <c r="B29" s="12"/>
    </row>
    <row r="30" spans="1:2" ht="24" thickBot="1" x14ac:dyDescent="0.4">
      <c r="A30" s="9" t="s">
        <v>39</v>
      </c>
      <c r="B30" s="12"/>
    </row>
    <row r="31" spans="1:2" ht="24" thickBot="1" x14ac:dyDescent="0.4">
      <c r="A31" s="9" t="s">
        <v>40</v>
      </c>
      <c r="B31" s="12"/>
    </row>
    <row r="32" spans="1:2" ht="24" thickBot="1" x14ac:dyDescent="0.4">
      <c r="A32" s="9" t="s">
        <v>41</v>
      </c>
      <c r="B32" s="12"/>
    </row>
    <row r="33" spans="1:2" ht="24" thickBot="1" x14ac:dyDescent="0.4">
      <c r="A33" s="9" t="s">
        <v>44</v>
      </c>
      <c r="B33" s="12"/>
    </row>
    <row r="34" spans="1:2" ht="24" thickBot="1" x14ac:dyDescent="0.4">
      <c r="A34" s="9" t="s">
        <v>17</v>
      </c>
      <c r="B3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5C77-2B51-4734-B728-CD2DAE27613C}">
  <sheetPr codeName="Hoja4"/>
  <dimension ref="A1:D27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7109375" customWidth="1"/>
    <col min="3" max="3" width="17.7109375" customWidth="1"/>
    <col min="4" max="4" width="15.28515625" customWidth="1"/>
  </cols>
  <sheetData>
    <row r="1" spans="1:4" x14ac:dyDescent="0.25">
      <c r="A1" s="4" t="s">
        <v>8</v>
      </c>
      <c r="C1" s="5" t="s">
        <v>2</v>
      </c>
    </row>
    <row r="2" spans="1:4" x14ac:dyDescent="0.25">
      <c r="A2" s="2" t="s">
        <v>9</v>
      </c>
      <c r="C2" s="2" t="s">
        <v>14</v>
      </c>
    </row>
    <row r="3" spans="1:4" x14ac:dyDescent="0.25">
      <c r="A3" s="2" t="s">
        <v>10</v>
      </c>
      <c r="C3" s="2" t="s">
        <v>15</v>
      </c>
    </row>
    <row r="4" spans="1:4" x14ac:dyDescent="0.25">
      <c r="A4" s="2" t="s">
        <v>11</v>
      </c>
      <c r="C4" s="2" t="s">
        <v>16</v>
      </c>
    </row>
    <row r="5" spans="1:4" x14ac:dyDescent="0.25">
      <c r="A5" s="2" t="s">
        <v>12</v>
      </c>
      <c r="C5" s="2" t="s">
        <v>17</v>
      </c>
    </row>
    <row r="6" spans="1:4" x14ac:dyDescent="0.25">
      <c r="A6" s="2" t="s">
        <v>13</v>
      </c>
      <c r="C6" s="2" t="s">
        <v>53</v>
      </c>
    </row>
    <row r="7" spans="1:4" x14ac:dyDescent="0.25">
      <c r="C7" s="2" t="s">
        <v>54</v>
      </c>
    </row>
    <row r="12" spans="1:4" ht="24" thickBot="1" x14ac:dyDescent="0.3">
      <c r="A12" s="15" t="s">
        <v>1</v>
      </c>
      <c r="B12" s="15" t="s">
        <v>2</v>
      </c>
      <c r="C12" s="15" t="s">
        <v>3</v>
      </c>
      <c r="D12" s="15" t="s">
        <v>1</v>
      </c>
    </row>
    <row r="13" spans="1:4" x14ac:dyDescent="0.25">
      <c r="A13" t="str">
        <f>CONCATENATE("&gt;",Ajustes!B3)</f>
        <v>&gt;43727</v>
      </c>
      <c r="B13" s="2" t="s">
        <v>55</v>
      </c>
      <c r="C13" s="2" t="s">
        <v>10</v>
      </c>
      <c r="D13" t="str">
        <f ca="1">CONCATENATE("&lt;=",Ajustes!B4)</f>
        <v>&lt;=43732</v>
      </c>
    </row>
    <row r="20" spans="1:4" ht="24" thickBot="1" x14ac:dyDescent="0.3">
      <c r="A20" s="15" t="s">
        <v>1</v>
      </c>
      <c r="B20" s="15" t="s">
        <v>2</v>
      </c>
      <c r="C20" s="15" t="s">
        <v>3</v>
      </c>
      <c r="D20" s="15" t="s">
        <v>1</v>
      </c>
    </row>
    <row r="21" spans="1:4" x14ac:dyDescent="0.25">
      <c r="A21" s="16">
        <v>43728</v>
      </c>
      <c r="C21" s="17" t="s">
        <v>9</v>
      </c>
      <c r="D21" s="16">
        <v>43732</v>
      </c>
    </row>
    <row r="26" spans="1:4" ht="32.25" thickBot="1" x14ac:dyDescent="0.3">
      <c r="A26" s="14" t="s">
        <v>1</v>
      </c>
      <c r="B26" s="14" t="s">
        <v>2</v>
      </c>
      <c r="C26" s="14" t="s">
        <v>3</v>
      </c>
      <c r="D26" s="14" t="s">
        <v>1</v>
      </c>
    </row>
    <row r="27" spans="1:4" x14ac:dyDescent="0.25">
      <c r="A27" s="13" t="str">
        <f>CONCATENATE("&gt;",Ajustes!B3)</f>
        <v>&gt;43727</v>
      </c>
      <c r="B27" t="s">
        <v>55</v>
      </c>
      <c r="C27" t="s">
        <v>10</v>
      </c>
      <c r="D27" s="16" t="str">
        <f ca="1">CONCATENATE("&lt;=",Ajustes!B4)</f>
        <v>&lt;=43732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Registro</vt:lpstr>
      <vt:lpstr>bdDiarios</vt:lpstr>
      <vt:lpstr>Hoja2</vt:lpstr>
      <vt:lpstr>Hoja1</vt:lpstr>
      <vt:lpstr>bdIndustria</vt:lpstr>
      <vt:lpstr>Ajustes</vt:lpstr>
      <vt:lpstr>auxiliares</vt:lpstr>
      <vt:lpstr>lDetalle</vt:lpstr>
      <vt:lpstr>lPagadores</vt:lpstr>
      <vt:lpstr>TablaPrueba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</dc:creator>
  <cp:lastModifiedBy>jose luis fernandez</cp:lastModifiedBy>
  <dcterms:created xsi:type="dcterms:W3CDTF">2015-06-05T18:19:34Z</dcterms:created>
  <dcterms:modified xsi:type="dcterms:W3CDTF">2019-09-24T21:33:17Z</dcterms:modified>
</cp:coreProperties>
</file>