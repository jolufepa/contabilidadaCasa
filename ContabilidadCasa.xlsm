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VERSIONES GIT\Contabilidad_Casa\"/>
    </mc:Choice>
  </mc:AlternateContent>
  <xr:revisionPtr revIDLastSave="0" documentId="13_ncr:1_{440B3FC8-7535-4937-AEE4-022B0A6E6B7B}" xr6:coauthVersionLast="45" xr6:coauthVersionMax="45" xr10:uidLastSave="{00000000-0000-0000-0000-000000000000}"/>
  <bookViews>
    <workbookView xWindow="-120" yWindow="-120" windowWidth="25440" windowHeight="15390" activeTab="3" xr2:uid="{00000000-000D-0000-FFFF-FFFF00000000}"/>
  </bookViews>
  <sheets>
    <sheet name="Registro" sheetId="1" r:id="rId1"/>
    <sheet name="bdDiarios" sheetId="2" r:id="rId2"/>
    <sheet name="bdIndustria" sheetId="3" r:id="rId3"/>
    <sheet name="Ajustes" sheetId="5" r:id="rId4"/>
    <sheet name="auxiliares" sheetId="4" r:id="rId5"/>
  </sheets>
  <definedNames>
    <definedName name="detalleVd">Tabla1[[#All],[Alquiler servicios]]</definedName>
    <definedName name="gastosFijos">Tabla5[#All]</definedName>
    <definedName name="lDetalle">detalles[Detalle]</definedName>
    <definedName name="lPagadores">pagadores[Pagadores]</definedName>
    <definedName name="RegistrosDiarios">Tabla7[#All]</definedName>
    <definedName name="registrosIndustria">registroIndustria[#All]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5" l="1"/>
  <c r="C23" i="5"/>
  <c r="B24" i="5"/>
  <c r="B23" i="5"/>
  <c r="G20" i="4" l="1"/>
  <c r="F41" i="4"/>
  <c r="F40" i="4"/>
  <c r="F36" i="4"/>
  <c r="F32" i="4"/>
  <c r="F28" i="4"/>
  <c r="F24" i="4"/>
  <c r="F20" i="4"/>
  <c r="F16" i="4"/>
  <c r="F15" i="4"/>
  <c r="B4" i="5" l="1"/>
  <c r="I41" i="4" s="1"/>
  <c r="F4" i="4"/>
  <c r="F9" i="4"/>
  <c r="I36" i="4" l="1"/>
  <c r="B25" i="5" s="1"/>
  <c r="C25" i="5" s="1"/>
  <c r="I40" i="4"/>
  <c r="I28" i="4"/>
  <c r="I32" i="4"/>
  <c r="B20" i="5" s="1"/>
  <c r="C20" i="5" s="1"/>
  <c r="I20" i="4"/>
  <c r="I24" i="4"/>
  <c r="B22" i="5" s="1"/>
  <c r="C22" i="5" s="1"/>
  <c r="I16" i="4"/>
  <c r="I4" i="4"/>
  <c r="B10" i="5" s="1"/>
  <c r="I15" i="4"/>
  <c r="I9" i="4"/>
  <c r="B11" i="5" s="1"/>
  <c r="B38" i="5" l="1"/>
  <c r="B26" i="5"/>
  <c r="C26" i="5" s="1"/>
  <c r="B37" i="5"/>
  <c r="B35" i="5"/>
  <c r="B21" i="5"/>
  <c r="C21" i="5" s="1"/>
  <c r="B33" i="5"/>
  <c r="B36" i="5"/>
  <c r="B41" i="5"/>
  <c r="B34" i="5"/>
  <c r="B12" i="5"/>
  <c r="B19" i="5" l="1"/>
  <c r="C19" i="5" s="1"/>
  <c r="C27" i="5" s="1"/>
  <c r="B39" i="5"/>
  <c r="B27" i="5"/>
  <c r="C11" i="5"/>
  <c r="C10" i="5"/>
</calcChain>
</file>

<file path=xl/sharedStrings.xml><?xml version="1.0" encoding="utf-8"?>
<sst xmlns="http://schemas.openxmlformats.org/spreadsheetml/2006/main" count="259" uniqueCount="76">
  <si>
    <t>REGISTRO DE GASTOS DIARIOS</t>
  </si>
  <si>
    <t>Fecha</t>
  </si>
  <si>
    <t>Detalle</t>
  </si>
  <si>
    <t>Pagador</t>
  </si>
  <si>
    <t>Observaciones</t>
  </si>
  <si>
    <t>Monto</t>
  </si>
  <si>
    <t>CONTABILIDAD CASA</t>
  </si>
  <si>
    <t>REGISTRO GASTOS INDUSTRIA 311</t>
  </si>
  <si>
    <t>Pagadores</t>
  </si>
  <si>
    <t>Ingrid</t>
  </si>
  <si>
    <t>Jose Luis</t>
  </si>
  <si>
    <t>Vanessa</t>
  </si>
  <si>
    <t>Tony</t>
  </si>
  <si>
    <t>Supermercado</t>
  </si>
  <si>
    <t>Restaurante</t>
  </si>
  <si>
    <t>Gastos Vanessa</t>
  </si>
  <si>
    <t>Varios</t>
  </si>
  <si>
    <t>Ajuste Diarios</t>
  </si>
  <si>
    <t>Fecha de Ajuste</t>
  </si>
  <si>
    <t>Total Gasto</t>
  </si>
  <si>
    <t>Gasto Ingrid</t>
  </si>
  <si>
    <t>Gasto Luis</t>
  </si>
  <si>
    <t>Diferencia</t>
  </si>
  <si>
    <t>Hoja de Ajustes</t>
  </si>
  <si>
    <t>Fecha del ult. Ajus.</t>
  </si>
  <si>
    <t>Alquiler</t>
  </si>
  <si>
    <t>Alquiler + Parking</t>
  </si>
  <si>
    <t>Agua</t>
  </si>
  <si>
    <t>Luz</t>
  </si>
  <si>
    <t>Gas</t>
  </si>
  <si>
    <t>Movil Vanessa</t>
  </si>
  <si>
    <t>Movil Ingrid</t>
  </si>
  <si>
    <t>Telefono + Internet</t>
  </si>
  <si>
    <t>Ajuste Alquiler Diarios</t>
  </si>
  <si>
    <t>Ajuste Alquiler General</t>
  </si>
  <si>
    <t>A Cuenta</t>
  </si>
  <si>
    <t>Pago Ingrid</t>
  </si>
  <si>
    <t>&lt;&gt;A Cuenta</t>
  </si>
  <si>
    <t>&lt;&gt;Pago Ingrid</t>
  </si>
  <si>
    <t>Total gastos mes</t>
  </si>
  <si>
    <t>Eso es lo que hay</t>
  </si>
  <si>
    <t xml:space="preserve">jos eluis </t>
  </si>
  <si>
    <t>los mejores</t>
  </si>
  <si>
    <t>wqsws</t>
  </si>
  <si>
    <t>jusla</t>
  </si>
  <si>
    <t>ultimo</t>
  </si>
  <si>
    <t>tambien</t>
  </si>
  <si>
    <t>Restaurante summa manqa</t>
  </si>
  <si>
    <t>CRITERIOS BDSUMA INGRID AJUSTES DIARIOS</t>
  </si>
  <si>
    <t>CRITERIOS BDSUMA JOSE LUIS AJUSTES DIARIOS</t>
  </si>
  <si>
    <t>Adsl</t>
  </si>
  <si>
    <t>Seguro Piso</t>
  </si>
  <si>
    <t>Alquiler servicios</t>
  </si>
  <si>
    <t>tretrete</t>
  </si>
  <si>
    <t>Mes de octubre</t>
  </si>
  <si>
    <t>fgddgfd</t>
  </si>
  <si>
    <t>oji</t>
  </si>
  <si>
    <t>oijiojio</t>
  </si>
  <si>
    <t>sswdwd</t>
  </si>
  <si>
    <t>Dithssy</t>
  </si>
  <si>
    <t>CRITERIOS BDSUMA pagos dithhsy y tony</t>
  </si>
  <si>
    <t>Total</t>
  </si>
  <si>
    <t>Pagos Tony Dithssy</t>
  </si>
  <si>
    <t>CRITERIOS BDSUMA Alquiler</t>
  </si>
  <si>
    <t>CRITERIOS BDSUMA Gas</t>
  </si>
  <si>
    <t>CRITERIOS BDSUMA Luz</t>
  </si>
  <si>
    <t>CRITERIOS BDSUMA Agua</t>
  </si>
  <si>
    <t>CRITERIOS BDSUMA VARIOS</t>
  </si>
  <si>
    <t>CRITERIOS BDSUMA TELEFONO PISO</t>
  </si>
  <si>
    <t>fdfdfds</t>
  </si>
  <si>
    <t>dghgr</t>
  </si>
  <si>
    <t>Parquing</t>
  </si>
  <si>
    <t>Gastos Fijos</t>
  </si>
  <si>
    <t>Afp Ingrid</t>
  </si>
  <si>
    <t>Monto Total</t>
  </si>
  <si>
    <t>Monto c/u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</si>
</sst>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#,##0.00\ &quot;€&quot;"/>
  </numFmts>
  <fonts count="10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1"/>
      <name val="Abad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Fill="1" applyBorder="1"/>
    <xf numFmtId="0" fontId="5" fillId="0" borderId="0" xfId="0" applyFont="1"/>
    <xf numFmtId="0" fontId="5" fillId="0" borderId="2" xfId="0" applyFont="1" applyBorder="1"/>
    <xf numFmtId="44" fontId="6" fillId="0" borderId="2" xfId="0" applyNumberFormat="1" applyFont="1" applyBorder="1"/>
    <xf numFmtId="4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5" fillId="0" borderId="0" xfId="0" applyFont="1" applyBorder="1"/>
    <xf numFmtId="44" fontId="6" fillId="0" borderId="0" xfId="0" applyNumberFormat="1" applyFont="1" applyBorder="1"/>
    <xf numFmtId="44" fontId="6" fillId="0" borderId="5" xfId="0" applyNumberFormat="1" applyFont="1" applyBorder="1"/>
    <xf numFmtId="0" fontId="5" fillId="5" borderId="2" xfId="0" applyFont="1" applyFill="1" applyBorder="1"/>
    <xf numFmtId="0" fontId="5" fillId="5" borderId="2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14" fontId="6" fillId="6" borderId="2" xfId="0" applyNumberFormat="1" applyFont="1" applyFill="1" applyBorder="1"/>
    <xf numFmtId="44" fontId="6" fillId="2" borderId="2" xfId="0" applyNumberFormat="1" applyFont="1" applyFill="1" applyBorder="1"/>
    <xf numFmtId="44" fontId="0" fillId="0" borderId="0" xfId="1" applyFont="1"/>
    <xf numFmtId="0" fontId="5" fillId="0" borderId="6" xfId="0" applyFont="1" applyFill="1" applyBorder="1"/>
    <xf numFmtId="0" fontId="5" fillId="0" borderId="7" xfId="0" applyFont="1" applyBorder="1"/>
    <xf numFmtId="44" fontId="6" fillId="0" borderId="7" xfId="0" applyNumberFormat="1" applyFont="1" applyBorder="1"/>
    <xf numFmtId="0" fontId="5" fillId="0" borderId="7" xfId="0" applyFont="1" applyFill="1" applyBorder="1"/>
    <xf numFmtId="0" fontId="0" fillId="0" borderId="7" xfId="0" applyBorder="1"/>
    <xf numFmtId="0" fontId="0" fillId="0" borderId="0" xfId="0" applyBorder="1"/>
    <xf numFmtId="0" fontId="9" fillId="0" borderId="6" xfId="0" applyFont="1" applyFill="1" applyBorder="1"/>
    <xf numFmtId="44" fontId="0" fillId="0" borderId="7" xfId="0" applyNumberFormat="1" applyBorder="1"/>
    <xf numFmtId="0" fontId="5" fillId="5" borderId="8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Moneda" xfId="1" builtinId="4"/>
    <cellStyle name="Normal" xfId="0" builtinId="0"/>
  </cellStyles>
  <dxfs count="20">
    <dxf>
      <numFmt numFmtId="34" formatCode="_-* #,##0.00\ &quot;€&quot;_-;\-* #,##0.00\ &quot;€&quot;_-;_-* &quot;-&quot;??\ &quot;€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165" formatCode="#,##0.00\ &quot;€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133350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D9CCF9-7B9D-4FFD-94FF-7626257C1B13}" name="Tabla7" displayName="Tabla7" ref="A3:E45" totalsRowShown="0" headerRowDxfId="19" dataDxfId="18">
  <autoFilter ref="A3:E45" xr:uid="{A61D66FE-CE72-410A-94D2-9D014BA46D52}"/>
  <sortState xmlns:xlrd2="http://schemas.microsoft.com/office/spreadsheetml/2017/richdata2" ref="A4:E45">
    <sortCondition descending="1" ref="A3:A45"/>
  </sortState>
  <tableColumns count="5">
    <tableColumn id="1" xr3:uid="{C26FD95D-E654-4F9E-A4FF-9544AF99F072}" name="Fecha" dataDxfId="17"/>
    <tableColumn id="2" xr3:uid="{A22DCF38-478C-4161-9EDB-8DDA1908819C}" name="Detalle" dataDxfId="16"/>
    <tableColumn id="3" xr3:uid="{4366F45E-693E-4EA8-A306-966DFA7C848D}" name="Pagador" dataDxfId="15"/>
    <tableColumn id="4" xr3:uid="{CF01C82E-F4D3-4472-8CF6-06B6B725B66E}" name="Monto" dataDxfId="14"/>
    <tableColumn id="5" xr3:uid="{195A682A-80E3-48D6-A520-4862F10CFA6C}" name="Observacion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A016E-C3E6-4CAC-AAEE-2DE81CC6D25A}" name="registroIndustria" displayName="registroIndustria" ref="A3:E14" totalsRowShown="0" headerRowDxfId="13" headerRowBorderDxfId="12" tableBorderDxfId="11">
  <autoFilter ref="A3:E14" xr:uid="{4BF1A2E8-3475-4E2F-BAB6-72D7848DB8E7}"/>
  <sortState xmlns:xlrd2="http://schemas.microsoft.com/office/spreadsheetml/2017/richdata2" ref="A4:E14">
    <sortCondition descending="1" ref="A3:A14"/>
  </sortState>
  <tableColumns count="5">
    <tableColumn id="1" xr3:uid="{BD2F3A04-A0E2-4B4C-BE1E-E35843705817}" name="Fecha"/>
    <tableColumn id="2" xr3:uid="{883BB3C7-C1EC-4FD9-90D0-27C36AA7A9AF}" name="Detalle"/>
    <tableColumn id="3" xr3:uid="{FF03BE8B-1A39-4DEA-BE48-95C52C60E9A4}" name="Pagador"/>
    <tableColumn id="4" xr3:uid="{5BD53B79-A762-401D-A09A-377BD1FC1ECA}" name="Monto"/>
    <tableColumn id="5" xr3:uid="{650E2AB7-B320-4916-9DCB-8527C3E705D0}" name="Observacione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BF289D-DDA5-4897-B9C0-56FA39330AD1}" name="pagadores" displayName="pagadores" ref="A1:A6" totalsRowShown="0" headerRowDxfId="8" dataDxfId="7">
  <autoFilter ref="A1:A6" xr:uid="{EE17CDB9-C409-41DB-9B77-8E2F52251271}"/>
  <tableColumns count="1">
    <tableColumn id="1" xr3:uid="{7EC3BB9E-5322-4EDA-96D7-06CD15D45421}" name="Pagadores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972EA-D007-4A44-9D88-A3BD4153F4F0}" name="detalles" displayName="detalles" ref="C1:C7" totalsRowShown="0" headerRowDxfId="5" dataDxfId="4">
  <autoFilter ref="C1:C7" xr:uid="{4F6D18D2-240E-4D8E-A9AF-64094EBF24C9}"/>
  <tableColumns count="1">
    <tableColumn id="1" xr3:uid="{68E15170-F49F-4026-BBB9-471244C4D211}" name="Detalle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48F8D-1CB3-4960-BCDE-B96EA20E8468}" name="Tabla1" displayName="Tabla1" ref="L2:L10" totalsRowShown="0" dataDxfId="2">
  <autoFilter ref="L2:L10" xr:uid="{47D0B3C7-C867-4001-9068-A8AB5979EE19}"/>
  <tableColumns count="1">
    <tableColumn id="1" xr3:uid="{BBA215F6-1068-40BC-BF19-B8D5A4FBED2D}" name="Alquiler servicios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E22492C-B4F3-4EB7-992A-570424120E11}" name="Tabla5" displayName="Tabla5" ref="A13:B17" totalsRowShown="0">
  <autoFilter ref="A13:B17" xr:uid="{11532308-FDA4-4FC9-9190-AA7128B04859}"/>
  <tableColumns count="2">
    <tableColumn id="1" xr3:uid="{F37AB0F8-0802-4DBA-8EBD-5FEDBBB5C2AF}" name="Gastos Fijos"/>
    <tableColumn id="2" xr3:uid="{96951F8D-704E-441D-8534-74D1CB8C7357}" name="Mon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"/>
  <sheetViews>
    <sheetView workbookViewId="0">
      <selection activeCell="E26" sqref="E26"/>
    </sheetView>
  </sheetViews>
  <sheetFormatPr baseColWidth="10" defaultColWidth="9.140625" defaultRowHeight="15" x14ac:dyDescent="0.25"/>
  <sheetData>
    <row r="2" spans="1:1" x14ac:dyDescent="0.25">
      <c r="A2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247650</xdr:colOff>
                <xdr:row>8</xdr:row>
                <xdr:rowOff>133350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48AB-6AAA-42D5-9B54-2011D95F7B5B}">
  <sheetPr codeName="Hoja2"/>
  <dimension ref="A1:E46"/>
  <sheetViews>
    <sheetView workbookViewId="0">
      <selection activeCell="A4" sqref="A4"/>
    </sheetView>
  </sheetViews>
  <sheetFormatPr baseColWidth="10" defaultRowHeight="15" x14ac:dyDescent="0.25"/>
  <cols>
    <col min="1" max="1" width="14.5703125" customWidth="1"/>
    <col min="2" max="2" width="20.85546875" customWidth="1"/>
    <col min="3" max="3" width="18.28515625" customWidth="1"/>
    <col min="4" max="4" width="23" customWidth="1"/>
    <col min="5" max="5" width="40.85546875" customWidth="1"/>
    <col min="7" max="7" width="12.7109375" bestFit="1" customWidth="1"/>
    <col min="11" max="11" width="12.85546875" bestFit="1" customWidth="1"/>
  </cols>
  <sheetData>
    <row r="1" spans="1:5" ht="28.5" x14ac:dyDescent="0.45">
      <c r="A1" s="36" t="s">
        <v>0</v>
      </c>
      <c r="B1" s="36"/>
      <c r="C1" s="36"/>
      <c r="D1" s="36"/>
      <c r="E1" s="36"/>
    </row>
    <row r="3" spans="1:5" x14ac:dyDescent="0.25">
      <c r="A3" s="2" t="s">
        <v>1</v>
      </c>
      <c r="B3" s="2" t="s">
        <v>2</v>
      </c>
      <c r="C3" s="2" t="s">
        <v>3</v>
      </c>
      <c r="D3" s="2" t="s">
        <v>5</v>
      </c>
      <c r="E3" s="2" t="s">
        <v>4</v>
      </c>
    </row>
    <row r="4" spans="1:5" x14ac:dyDescent="0.25">
      <c r="A4" s="13">
        <v>43758</v>
      </c>
      <c r="B4" s="14" t="s">
        <v>13</v>
      </c>
      <c r="C4" s="2" t="s">
        <v>10</v>
      </c>
      <c r="D4" s="15">
        <v>695</v>
      </c>
    </row>
    <row r="5" spans="1:5" x14ac:dyDescent="0.25">
      <c r="A5" s="13">
        <v>43738</v>
      </c>
      <c r="B5" s="14" t="s">
        <v>13</v>
      </c>
      <c r="C5" s="2" t="s">
        <v>10</v>
      </c>
      <c r="D5" s="15">
        <v>657</v>
      </c>
    </row>
    <row r="6" spans="1:5" x14ac:dyDescent="0.25">
      <c r="A6" s="13">
        <v>43738</v>
      </c>
      <c r="B6" s="14" t="s">
        <v>13</v>
      </c>
      <c r="C6" s="2" t="s">
        <v>10</v>
      </c>
      <c r="D6" s="15">
        <v>56</v>
      </c>
    </row>
    <row r="7" spans="1:5" x14ac:dyDescent="0.25">
      <c r="A7" s="13">
        <v>43737</v>
      </c>
      <c r="B7" s="14" t="s">
        <v>13</v>
      </c>
      <c r="C7" s="2" t="s">
        <v>10</v>
      </c>
      <c r="D7" s="15">
        <v>32</v>
      </c>
    </row>
    <row r="8" spans="1:5" x14ac:dyDescent="0.25">
      <c r="A8" s="13">
        <v>43737</v>
      </c>
      <c r="B8" s="14" t="s">
        <v>14</v>
      </c>
      <c r="C8" s="2" t="s">
        <v>10</v>
      </c>
      <c r="D8" s="15">
        <v>6221</v>
      </c>
    </row>
    <row r="9" spans="1:5" x14ac:dyDescent="0.25">
      <c r="A9" s="13">
        <v>43737</v>
      </c>
      <c r="B9" s="14" t="s">
        <v>15</v>
      </c>
      <c r="C9" s="2" t="s">
        <v>9</v>
      </c>
      <c r="D9" s="15">
        <v>98</v>
      </c>
    </row>
    <row r="10" spans="1:5" x14ac:dyDescent="0.25">
      <c r="A10" s="13">
        <v>43737</v>
      </c>
      <c r="B10" s="14" t="s">
        <v>14</v>
      </c>
      <c r="C10" s="2" t="s">
        <v>9</v>
      </c>
      <c r="D10" s="15">
        <v>150</v>
      </c>
    </row>
    <row r="11" spans="1:5" x14ac:dyDescent="0.25">
      <c r="A11" s="13">
        <v>43737</v>
      </c>
      <c r="B11" s="14" t="s">
        <v>13</v>
      </c>
      <c r="C11" s="2" t="s">
        <v>10</v>
      </c>
      <c r="D11" s="15">
        <v>68</v>
      </c>
      <c r="E11" t="s">
        <v>53</v>
      </c>
    </row>
    <row r="12" spans="1:5" x14ac:dyDescent="0.25">
      <c r="A12" s="13">
        <v>43736</v>
      </c>
      <c r="B12" s="14" t="s">
        <v>13</v>
      </c>
      <c r="C12" s="2" t="s">
        <v>10</v>
      </c>
      <c r="D12" s="15">
        <v>545</v>
      </c>
    </row>
    <row r="13" spans="1:5" x14ac:dyDescent="0.25">
      <c r="A13" s="13">
        <v>43735</v>
      </c>
      <c r="B13" s="14" t="s">
        <v>14</v>
      </c>
      <c r="C13" s="2" t="s">
        <v>9</v>
      </c>
      <c r="D13" s="15">
        <v>85</v>
      </c>
      <c r="E13" t="s">
        <v>45</v>
      </c>
    </row>
    <row r="14" spans="1:5" x14ac:dyDescent="0.25">
      <c r="A14" s="13">
        <v>43734</v>
      </c>
      <c r="B14" s="14" t="s">
        <v>14</v>
      </c>
      <c r="C14" s="2" t="s">
        <v>10</v>
      </c>
      <c r="D14" s="15">
        <v>25</v>
      </c>
      <c r="E14" t="s">
        <v>47</v>
      </c>
    </row>
    <row r="15" spans="1:5" x14ac:dyDescent="0.25">
      <c r="A15" s="13">
        <v>43734</v>
      </c>
      <c r="B15" s="14" t="s">
        <v>16</v>
      </c>
      <c r="C15" s="2" t="s">
        <v>9</v>
      </c>
      <c r="D15" s="15">
        <v>36</v>
      </c>
    </row>
    <row r="16" spans="1:5" x14ac:dyDescent="0.25">
      <c r="A16" s="13">
        <v>43734</v>
      </c>
      <c r="B16" s="14" t="s">
        <v>13</v>
      </c>
      <c r="C16" s="2" t="s">
        <v>10</v>
      </c>
      <c r="D16" s="15">
        <v>65</v>
      </c>
      <c r="E16" t="s">
        <v>44</v>
      </c>
    </row>
    <row r="17" spans="1:5" x14ac:dyDescent="0.25">
      <c r="A17" s="13">
        <v>43733</v>
      </c>
      <c r="B17" s="14" t="s">
        <v>13</v>
      </c>
      <c r="C17" s="2" t="s">
        <v>11</v>
      </c>
      <c r="D17" s="15">
        <v>658</v>
      </c>
      <c r="E17" t="s">
        <v>43</v>
      </c>
    </row>
    <row r="18" spans="1:5" x14ac:dyDescent="0.25">
      <c r="A18" s="13">
        <v>43733</v>
      </c>
      <c r="B18" s="14" t="s">
        <v>13</v>
      </c>
      <c r="C18" s="2" t="s">
        <v>9</v>
      </c>
      <c r="D18" s="15">
        <v>87</v>
      </c>
      <c r="E18" t="s">
        <v>41</v>
      </c>
    </row>
    <row r="19" spans="1:5" x14ac:dyDescent="0.25">
      <c r="A19" s="13">
        <v>43733</v>
      </c>
      <c r="B19" s="14" t="s">
        <v>13</v>
      </c>
      <c r="C19" s="2" t="s">
        <v>10</v>
      </c>
      <c r="D19" s="15">
        <v>659</v>
      </c>
    </row>
    <row r="20" spans="1:5" x14ac:dyDescent="0.25">
      <c r="A20" s="13">
        <v>43733</v>
      </c>
      <c r="B20" s="14" t="s">
        <v>13</v>
      </c>
      <c r="C20" s="2" t="s">
        <v>10</v>
      </c>
      <c r="D20" s="15">
        <v>65</v>
      </c>
    </row>
    <row r="21" spans="1:5" x14ac:dyDescent="0.25">
      <c r="A21" s="13">
        <v>43733</v>
      </c>
      <c r="B21" s="14" t="s">
        <v>13</v>
      </c>
      <c r="C21" s="2" t="s">
        <v>10</v>
      </c>
      <c r="D21" s="15">
        <v>65</v>
      </c>
    </row>
    <row r="22" spans="1:5" x14ac:dyDescent="0.25">
      <c r="A22" s="13">
        <v>43733</v>
      </c>
      <c r="B22" s="14" t="s">
        <v>16</v>
      </c>
      <c r="C22" s="2" t="s">
        <v>9</v>
      </c>
      <c r="D22" s="15">
        <v>86</v>
      </c>
    </row>
    <row r="23" spans="1:5" x14ac:dyDescent="0.25">
      <c r="A23" s="13">
        <v>43733</v>
      </c>
      <c r="B23" s="14" t="s">
        <v>14</v>
      </c>
      <c r="C23" s="2" t="s">
        <v>10</v>
      </c>
      <c r="D23" s="15">
        <v>58</v>
      </c>
    </row>
    <row r="24" spans="1:5" x14ac:dyDescent="0.25">
      <c r="A24" s="13">
        <v>43732</v>
      </c>
      <c r="B24" s="14" t="s">
        <v>13</v>
      </c>
      <c r="C24" s="2" t="s">
        <v>9</v>
      </c>
      <c r="D24" s="15">
        <v>120</v>
      </c>
    </row>
    <row r="25" spans="1:5" x14ac:dyDescent="0.25">
      <c r="A25" s="13">
        <v>43731</v>
      </c>
      <c r="B25" s="14" t="s">
        <v>14</v>
      </c>
      <c r="C25" s="2" t="s">
        <v>10</v>
      </c>
      <c r="D25" s="15">
        <v>98</v>
      </c>
    </row>
    <row r="26" spans="1:5" x14ac:dyDescent="0.25">
      <c r="A26" s="13">
        <v>43731</v>
      </c>
      <c r="B26" s="14" t="s">
        <v>13</v>
      </c>
      <c r="C26" s="2" t="s">
        <v>10</v>
      </c>
      <c r="D26" s="15">
        <v>87</v>
      </c>
    </row>
    <row r="27" spans="1:5" x14ac:dyDescent="0.25">
      <c r="A27" s="13">
        <v>43731</v>
      </c>
      <c r="B27" s="14" t="s">
        <v>13</v>
      </c>
      <c r="C27" s="2" t="s">
        <v>10</v>
      </c>
      <c r="D27" s="15">
        <v>98</v>
      </c>
    </row>
    <row r="28" spans="1:5" x14ac:dyDescent="0.25">
      <c r="A28" s="13">
        <v>43730</v>
      </c>
      <c r="B28" s="14" t="s">
        <v>13</v>
      </c>
      <c r="C28" s="2" t="s">
        <v>9</v>
      </c>
      <c r="D28" s="15">
        <v>58</v>
      </c>
    </row>
    <row r="29" spans="1:5" x14ac:dyDescent="0.25">
      <c r="A29" s="13">
        <v>43729</v>
      </c>
      <c r="B29" s="14" t="s">
        <v>13</v>
      </c>
      <c r="C29" s="2" t="s">
        <v>10</v>
      </c>
      <c r="D29" s="15">
        <v>45</v>
      </c>
      <c r="E29" t="s">
        <v>42</v>
      </c>
    </row>
    <row r="30" spans="1:5" x14ac:dyDescent="0.25">
      <c r="A30" s="13">
        <v>43729</v>
      </c>
      <c r="B30" s="14" t="s">
        <v>13</v>
      </c>
      <c r="C30" s="2" t="s">
        <v>10</v>
      </c>
      <c r="D30" s="15">
        <v>87</v>
      </c>
    </row>
    <row r="31" spans="1:5" x14ac:dyDescent="0.25">
      <c r="A31" s="13">
        <v>43729</v>
      </c>
      <c r="B31" s="14" t="s">
        <v>13</v>
      </c>
      <c r="C31" s="2" t="s">
        <v>9</v>
      </c>
      <c r="D31" s="15">
        <v>98</v>
      </c>
    </row>
    <row r="32" spans="1:5" x14ac:dyDescent="0.25">
      <c r="A32" s="13">
        <v>43728</v>
      </c>
      <c r="B32" s="14" t="s">
        <v>14</v>
      </c>
      <c r="C32" s="2" t="s">
        <v>9</v>
      </c>
      <c r="D32" s="15">
        <v>65</v>
      </c>
    </row>
    <row r="33" spans="1:5" x14ac:dyDescent="0.25">
      <c r="A33" s="13">
        <v>43727</v>
      </c>
      <c r="B33" s="14" t="s">
        <v>13</v>
      </c>
      <c r="C33" s="2" t="s">
        <v>10</v>
      </c>
      <c r="D33" s="15">
        <v>58</v>
      </c>
    </row>
    <row r="34" spans="1:5" x14ac:dyDescent="0.25">
      <c r="A34" s="13">
        <v>43727</v>
      </c>
      <c r="B34" s="14" t="s">
        <v>13</v>
      </c>
      <c r="C34" s="2" t="s">
        <v>10</v>
      </c>
      <c r="D34" s="15">
        <v>65</v>
      </c>
    </row>
    <row r="35" spans="1:5" x14ac:dyDescent="0.25">
      <c r="A35" s="13">
        <v>43726</v>
      </c>
      <c r="B35" s="14" t="s">
        <v>13</v>
      </c>
      <c r="C35" s="2" t="s">
        <v>10</v>
      </c>
      <c r="D35" s="15">
        <v>120</v>
      </c>
      <c r="E35" t="s">
        <v>46</v>
      </c>
    </row>
    <row r="36" spans="1:5" x14ac:dyDescent="0.25">
      <c r="A36" s="13">
        <v>43723</v>
      </c>
      <c r="B36" s="14" t="s">
        <v>14</v>
      </c>
      <c r="C36" s="2" t="s">
        <v>10</v>
      </c>
      <c r="D36" s="15">
        <v>25</v>
      </c>
    </row>
    <row r="37" spans="1:5" x14ac:dyDescent="0.25">
      <c r="A37" s="13">
        <v>43722</v>
      </c>
      <c r="B37" s="14" t="s">
        <v>16</v>
      </c>
      <c r="C37" s="2" t="s">
        <v>10</v>
      </c>
      <c r="D37" s="15">
        <v>54</v>
      </c>
    </row>
    <row r="38" spans="1:5" x14ac:dyDescent="0.25">
      <c r="A38" s="13">
        <v>43720</v>
      </c>
      <c r="B38" s="14" t="s">
        <v>35</v>
      </c>
      <c r="C38" s="2" t="s">
        <v>9</v>
      </c>
      <c r="D38" s="15">
        <v>584</v>
      </c>
    </row>
    <row r="39" spans="1:5" x14ac:dyDescent="0.25">
      <c r="A39" s="13">
        <v>43718</v>
      </c>
      <c r="B39" s="14" t="s">
        <v>36</v>
      </c>
      <c r="C39" s="2" t="s">
        <v>9</v>
      </c>
      <c r="D39" s="15">
        <v>650</v>
      </c>
    </row>
    <row r="40" spans="1:5" x14ac:dyDescent="0.25">
      <c r="A40" s="13">
        <v>43717</v>
      </c>
      <c r="B40" s="14" t="s">
        <v>14</v>
      </c>
      <c r="C40" s="2" t="s">
        <v>9</v>
      </c>
      <c r="D40" s="15">
        <v>85</v>
      </c>
    </row>
    <row r="41" spans="1:5" x14ac:dyDescent="0.25">
      <c r="A41" s="13">
        <v>43713</v>
      </c>
      <c r="B41" s="14" t="s">
        <v>13</v>
      </c>
      <c r="C41" s="2" t="s">
        <v>10</v>
      </c>
      <c r="D41" s="15">
        <v>695</v>
      </c>
    </row>
    <row r="42" spans="1:5" x14ac:dyDescent="0.25">
      <c r="A42" s="13">
        <v>43711</v>
      </c>
      <c r="B42" s="14" t="s">
        <v>16</v>
      </c>
      <c r="C42" s="2" t="s">
        <v>9</v>
      </c>
      <c r="D42" s="15">
        <v>569</v>
      </c>
      <c r="E42" t="s">
        <v>40</v>
      </c>
    </row>
    <row r="43" spans="1:5" x14ac:dyDescent="0.25">
      <c r="A43" s="13">
        <v>43711</v>
      </c>
      <c r="B43" s="14" t="s">
        <v>14</v>
      </c>
      <c r="C43" s="2" t="s">
        <v>9</v>
      </c>
      <c r="D43" s="15">
        <v>200</v>
      </c>
    </row>
    <row r="44" spans="1:5" x14ac:dyDescent="0.25">
      <c r="A44" s="13">
        <v>43710</v>
      </c>
      <c r="B44" s="14" t="s">
        <v>13</v>
      </c>
      <c r="C44" s="2" t="s">
        <v>10</v>
      </c>
      <c r="D44" s="15">
        <v>54</v>
      </c>
    </row>
    <row r="45" spans="1:5" x14ac:dyDescent="0.25">
      <c r="A45" s="13">
        <v>43679</v>
      </c>
      <c r="B45" s="14" t="s">
        <v>13</v>
      </c>
      <c r="C45" s="2" t="s">
        <v>11</v>
      </c>
      <c r="D45" s="15">
        <v>23</v>
      </c>
    </row>
    <row r="46" spans="1:5" x14ac:dyDescent="0.25">
      <c r="B46" s="3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4360-C726-40CE-98ED-EF4F3F59B226}">
  <sheetPr codeName="Hoja3"/>
  <dimension ref="A1:G14"/>
  <sheetViews>
    <sheetView workbookViewId="0">
      <selection activeCell="D14" sqref="D14"/>
    </sheetView>
  </sheetViews>
  <sheetFormatPr baseColWidth="10" defaultRowHeight="15" x14ac:dyDescent="0.25"/>
  <cols>
    <col min="1" max="1" width="15.28515625" customWidth="1"/>
    <col min="2" max="2" width="21.7109375" customWidth="1"/>
    <col min="3" max="3" width="21.5703125" customWidth="1"/>
    <col min="4" max="4" width="29.140625" customWidth="1"/>
    <col min="5" max="5" width="33" customWidth="1"/>
  </cols>
  <sheetData>
    <row r="1" spans="1:7" ht="28.5" x14ac:dyDescent="0.45">
      <c r="A1" s="37" t="s">
        <v>7</v>
      </c>
      <c r="B1" s="37"/>
      <c r="C1" s="37"/>
      <c r="D1" s="37"/>
      <c r="E1" s="37"/>
    </row>
    <row r="3" spans="1:7" ht="32.25" thickBot="1" x14ac:dyDescent="0.3">
      <c r="A3" s="1" t="s">
        <v>1</v>
      </c>
      <c r="B3" s="1" t="s">
        <v>2</v>
      </c>
      <c r="C3" s="1" t="s">
        <v>3</v>
      </c>
      <c r="D3" s="1" t="s">
        <v>5</v>
      </c>
      <c r="E3" s="1" t="s">
        <v>4</v>
      </c>
    </row>
    <row r="4" spans="1:7" x14ac:dyDescent="0.25">
      <c r="A4" s="13">
        <v>43737</v>
      </c>
      <c r="B4" s="2" t="s">
        <v>25</v>
      </c>
      <c r="C4" s="2" t="s">
        <v>10</v>
      </c>
      <c r="D4" s="26">
        <v>921</v>
      </c>
      <c r="E4" t="s">
        <v>70</v>
      </c>
    </row>
    <row r="5" spans="1:7" x14ac:dyDescent="0.25">
      <c r="A5" s="13">
        <v>43737</v>
      </c>
      <c r="B5" s="2" t="s">
        <v>16</v>
      </c>
      <c r="C5" s="2" t="s">
        <v>10</v>
      </c>
      <c r="D5" s="26">
        <v>98</v>
      </c>
      <c r="E5" t="s">
        <v>69</v>
      </c>
    </row>
    <row r="6" spans="1:7" x14ac:dyDescent="0.25">
      <c r="A6" s="13">
        <v>43737</v>
      </c>
      <c r="B6" s="2" t="s">
        <v>29</v>
      </c>
      <c r="C6" s="2" t="s">
        <v>12</v>
      </c>
      <c r="D6" s="26">
        <v>85</v>
      </c>
    </row>
    <row r="7" spans="1:7" x14ac:dyDescent="0.25">
      <c r="A7" s="13">
        <v>43737</v>
      </c>
      <c r="B7" s="2" t="s">
        <v>28</v>
      </c>
      <c r="C7" s="2" t="s">
        <v>59</v>
      </c>
      <c r="D7" s="26">
        <v>965</v>
      </c>
      <c r="E7" t="s">
        <v>28</v>
      </c>
    </row>
    <row r="8" spans="1:7" x14ac:dyDescent="0.25">
      <c r="A8" s="13">
        <v>43737</v>
      </c>
      <c r="B8" s="2" t="s">
        <v>27</v>
      </c>
      <c r="C8" s="2" t="s">
        <v>9</v>
      </c>
      <c r="D8" s="26">
        <v>985</v>
      </c>
      <c r="E8" t="s">
        <v>55</v>
      </c>
    </row>
    <row r="9" spans="1:7" x14ac:dyDescent="0.25">
      <c r="A9" s="13">
        <v>43737</v>
      </c>
      <c r="B9" s="2" t="s">
        <v>28</v>
      </c>
      <c r="C9" s="2" t="s">
        <v>10</v>
      </c>
      <c r="D9" s="26">
        <v>562</v>
      </c>
      <c r="E9" t="s">
        <v>54</v>
      </c>
    </row>
    <row r="10" spans="1:7" x14ac:dyDescent="0.25">
      <c r="A10" s="13">
        <v>43731</v>
      </c>
      <c r="B10" s="2" t="s">
        <v>29</v>
      </c>
      <c r="C10" s="2" t="s">
        <v>12</v>
      </c>
      <c r="D10" s="26">
        <v>85</v>
      </c>
      <c r="E10" t="s">
        <v>56</v>
      </c>
    </row>
    <row r="11" spans="1:7" x14ac:dyDescent="0.25">
      <c r="A11" s="13">
        <v>43729</v>
      </c>
      <c r="B11" s="2" t="s">
        <v>27</v>
      </c>
      <c r="C11" s="2" t="s">
        <v>10</v>
      </c>
      <c r="D11" s="26">
        <v>548</v>
      </c>
    </row>
    <row r="12" spans="1:7" x14ac:dyDescent="0.25">
      <c r="A12" s="13">
        <v>43728</v>
      </c>
      <c r="B12" s="2" t="s">
        <v>51</v>
      </c>
      <c r="C12" s="2" t="s">
        <v>10</v>
      </c>
      <c r="D12" s="26">
        <v>54</v>
      </c>
      <c r="E12" t="s">
        <v>57</v>
      </c>
      <c r="G12">
        <v>96</v>
      </c>
    </row>
    <row r="13" spans="1:7" x14ac:dyDescent="0.25">
      <c r="A13" s="13">
        <v>43720</v>
      </c>
      <c r="B13" s="2" t="s">
        <v>29</v>
      </c>
      <c r="C13" s="2" t="s">
        <v>10</v>
      </c>
      <c r="D13" s="26">
        <v>63</v>
      </c>
      <c r="E13" t="s">
        <v>58</v>
      </c>
    </row>
    <row r="14" spans="1:7" x14ac:dyDescent="0.25">
      <c r="A14" s="13">
        <v>43720</v>
      </c>
      <c r="B14" s="2" t="s">
        <v>28</v>
      </c>
      <c r="C14" s="2" t="s">
        <v>10</v>
      </c>
      <c r="D14" s="26">
        <v>326</v>
      </c>
      <c r="E14">
        <v>65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FE53-2F18-4422-9FAC-570036614F57}">
  <sheetPr codeName="Hoja5"/>
  <dimension ref="A1:E41"/>
  <sheetViews>
    <sheetView tabSelected="1" topLeftCell="A28" workbookViewId="0">
      <selection activeCell="A32" sqref="A32:B32"/>
    </sheetView>
  </sheetViews>
  <sheetFormatPr baseColWidth="10" defaultRowHeight="15" x14ac:dyDescent="0.25"/>
  <cols>
    <col min="1" max="1" width="31.140625" customWidth="1"/>
    <col min="2" max="2" width="19.5703125" bestFit="1" customWidth="1"/>
    <col min="3" max="3" width="17.85546875" bestFit="1" customWidth="1"/>
  </cols>
  <sheetData>
    <row r="1" spans="1:5" ht="26.25" x14ac:dyDescent="0.4">
      <c r="A1" s="6" t="s">
        <v>23</v>
      </c>
    </row>
    <row r="2" spans="1:5" ht="15.75" thickBot="1" x14ac:dyDescent="0.3"/>
    <row r="3" spans="1:5" ht="24" thickBot="1" x14ac:dyDescent="0.4">
      <c r="A3" s="21" t="s">
        <v>24</v>
      </c>
      <c r="B3" s="24">
        <v>43709</v>
      </c>
    </row>
    <row r="4" spans="1:5" ht="24" thickBot="1" x14ac:dyDescent="0.4">
      <c r="A4" s="21" t="s">
        <v>18</v>
      </c>
      <c r="B4" s="24">
        <f ca="1">TODAY()</f>
        <v>43737</v>
      </c>
    </row>
    <row r="6" spans="1:5" ht="26.25" x14ac:dyDescent="0.4">
      <c r="A6" s="6" t="s">
        <v>17</v>
      </c>
    </row>
    <row r="8" spans="1:5" ht="15.75" thickBot="1" x14ac:dyDescent="0.3"/>
    <row r="9" spans="1:5" ht="24" thickBot="1" x14ac:dyDescent="0.4">
      <c r="A9" s="21" t="s">
        <v>19</v>
      </c>
      <c r="B9" s="22" t="s">
        <v>5</v>
      </c>
      <c r="C9" s="23" t="s">
        <v>22</v>
      </c>
    </row>
    <row r="10" spans="1:5" ht="24" thickBot="1" x14ac:dyDescent="0.4">
      <c r="A10" s="9" t="s">
        <v>20</v>
      </c>
      <c r="B10" s="10">
        <f ca="1">DSUM(RegistrosDiarios,"Monto",auxiliares!F3:J4)</f>
        <v>1737</v>
      </c>
      <c r="C10" s="20">
        <f ca="1">+B12/2-B10</f>
        <v>3776</v>
      </c>
    </row>
    <row r="11" spans="1:5" ht="24" thickBot="1" x14ac:dyDescent="0.4">
      <c r="A11" s="9" t="s">
        <v>21</v>
      </c>
      <c r="B11" s="10">
        <f ca="1">DSUM(RegistrosDiarios,"Monto",auxiliares!F8:J9)</f>
        <v>9289</v>
      </c>
      <c r="C11" s="20">
        <f ca="1">+B12/2-B11</f>
        <v>-3776</v>
      </c>
    </row>
    <row r="12" spans="1:5" ht="24" thickBot="1" x14ac:dyDescent="0.4">
      <c r="A12" s="9" t="s">
        <v>39</v>
      </c>
      <c r="B12" s="25">
        <f ca="1">SUM(B10:B11)</f>
        <v>11026</v>
      </c>
      <c r="C12" s="19"/>
      <c r="E12" s="11"/>
    </row>
    <row r="13" spans="1:5" ht="23.25" x14ac:dyDescent="0.35">
      <c r="A13" s="18"/>
      <c r="B13" s="19"/>
      <c r="C13" s="19"/>
    </row>
    <row r="16" spans="1:5" ht="23.25" x14ac:dyDescent="0.35">
      <c r="A16" s="7" t="s">
        <v>33</v>
      </c>
    </row>
    <row r="17" spans="1:3" ht="15.75" thickBot="1" x14ac:dyDescent="0.3"/>
    <row r="18" spans="1:3" ht="23.25" x14ac:dyDescent="0.35">
      <c r="A18" s="35" t="s">
        <v>2</v>
      </c>
      <c r="B18" s="35" t="s">
        <v>74</v>
      </c>
      <c r="C18" s="35" t="s">
        <v>75</v>
      </c>
    </row>
    <row r="19" spans="1:3" ht="23.25" x14ac:dyDescent="0.35">
      <c r="A19" s="28" t="s">
        <v>26</v>
      </c>
      <c r="B19" s="29">
        <f ca="1">B33/2+auxiliares!B17</f>
        <v>485.51</v>
      </c>
      <c r="C19" s="29">
        <f ca="1">B19/2</f>
        <v>242.755</v>
      </c>
    </row>
    <row r="20" spans="1:3" ht="23.25" x14ac:dyDescent="0.35">
      <c r="A20" s="28" t="s">
        <v>27</v>
      </c>
      <c r="B20" s="29">
        <f ca="1">DSUM(registrosIndustria,"Monto",auxiliares!F31:I32)</f>
        <v>1533</v>
      </c>
      <c r="C20" s="31">
        <f ca="1">+B20/4</f>
        <v>383.25</v>
      </c>
    </row>
    <row r="21" spans="1:3" ht="23.25" x14ac:dyDescent="0.35">
      <c r="A21" s="28" t="s">
        <v>28</v>
      </c>
      <c r="B21" s="29">
        <f ca="1">DSUM(registrosIndustria,"Monto",auxiliares!F27:I28)</f>
        <v>1853</v>
      </c>
      <c r="C21" s="34">
        <f ca="1">B21/4</f>
        <v>463.25</v>
      </c>
    </row>
    <row r="22" spans="1:3" ht="23.25" x14ac:dyDescent="0.35">
      <c r="A22" s="28" t="s">
        <v>29</v>
      </c>
      <c r="B22" s="29">
        <f ca="1">DSUM(registrosIndustria,"Monto",auxiliares!F23:I24)</f>
        <v>233</v>
      </c>
      <c r="C22" s="34">
        <f ca="1">B22/4</f>
        <v>58.25</v>
      </c>
    </row>
    <row r="23" spans="1:3" ht="23.25" x14ac:dyDescent="0.35">
      <c r="A23" s="28" t="s">
        <v>30</v>
      </c>
      <c r="B23" s="29">
        <f>auxiliares!B15</f>
        <v>12</v>
      </c>
      <c r="C23" s="34">
        <f>B23/2</f>
        <v>6</v>
      </c>
    </row>
    <row r="24" spans="1:3" ht="23.25" x14ac:dyDescent="0.35">
      <c r="A24" s="28" t="s">
        <v>31</v>
      </c>
      <c r="B24" s="29">
        <f>auxiliares!B16</f>
        <v>12</v>
      </c>
      <c r="C24" s="34">
        <f>B24</f>
        <v>12</v>
      </c>
    </row>
    <row r="25" spans="1:3" ht="23.25" x14ac:dyDescent="0.35">
      <c r="A25" s="28" t="s">
        <v>32</v>
      </c>
      <c r="B25" s="29">
        <f ca="1">DSUM(registrosIndustria,"Monto",auxiliares!F35:I36)</f>
        <v>0</v>
      </c>
      <c r="C25" s="34">
        <f ca="1">B25/4</f>
        <v>0</v>
      </c>
    </row>
    <row r="26" spans="1:3" ht="23.25" x14ac:dyDescent="0.35">
      <c r="A26" s="28" t="s">
        <v>16</v>
      </c>
      <c r="B26" s="29">
        <f ca="1">DSUM(registrosIndustria,"Monto",auxiliares!F39:I41)</f>
        <v>152</v>
      </c>
      <c r="C26" s="34">
        <f ca="1">B26/4</f>
        <v>38</v>
      </c>
    </row>
    <row r="27" spans="1:3" ht="23.25" x14ac:dyDescent="0.35">
      <c r="A27" s="30" t="s">
        <v>61</v>
      </c>
      <c r="B27" s="34">
        <f ca="1">SUM(B19:B26)</f>
        <v>4280.51</v>
      </c>
      <c r="C27" s="34">
        <f ca="1">SUM(C19:C26)</f>
        <v>1203.5050000000001</v>
      </c>
    </row>
    <row r="28" spans="1:3" ht="23.25" x14ac:dyDescent="0.35">
      <c r="A28" s="7"/>
      <c r="B28" s="32"/>
    </row>
    <row r="30" spans="1:3" ht="23.25" x14ac:dyDescent="0.35">
      <c r="A30" s="8" t="s">
        <v>34</v>
      </c>
    </row>
    <row r="31" spans="1:3" ht="15.75" thickBot="1" x14ac:dyDescent="0.3"/>
    <row r="32" spans="1:3" ht="24" thickBot="1" x14ac:dyDescent="0.4">
      <c r="A32" s="22" t="s">
        <v>2</v>
      </c>
      <c r="B32" s="22" t="s">
        <v>5</v>
      </c>
    </row>
    <row r="33" spans="1:2" ht="24" thickBot="1" x14ac:dyDescent="0.4">
      <c r="A33" s="9" t="s">
        <v>25</v>
      </c>
      <c r="B33" s="10">
        <f ca="1">DSUM(registrosIndustria,"Monto",auxiliares!F19:I20)-50.02</f>
        <v>870.98</v>
      </c>
    </row>
    <row r="34" spans="1:2" ht="24" thickBot="1" x14ac:dyDescent="0.4">
      <c r="A34" s="9" t="s">
        <v>27</v>
      </c>
      <c r="B34" s="10">
        <f ca="1">DSUM(registrosIndustria,"Monto",auxiliares!F31:I32)</f>
        <v>1533</v>
      </c>
    </row>
    <row r="35" spans="1:2" ht="24" thickBot="1" x14ac:dyDescent="0.4">
      <c r="A35" s="9" t="s">
        <v>28</v>
      </c>
      <c r="B35" s="10">
        <f ca="1">DSUM(registrosIndustria,"Monto",auxiliares!F27:I28)</f>
        <v>1853</v>
      </c>
    </row>
    <row r="36" spans="1:2" ht="24" thickBot="1" x14ac:dyDescent="0.4">
      <c r="A36" s="9" t="s">
        <v>29</v>
      </c>
      <c r="B36" s="10">
        <f ca="1">DSUM(registrosIndustria,"Monto",auxiliares!F23:I24)</f>
        <v>233</v>
      </c>
    </row>
    <row r="37" spans="1:2" ht="24" thickBot="1" x14ac:dyDescent="0.4">
      <c r="A37" s="9" t="s">
        <v>32</v>
      </c>
      <c r="B37" s="10">
        <f ca="1">DSUM(registrosIndustria,"Monto",auxiliares!F35:I36)</f>
        <v>0</v>
      </c>
    </row>
    <row r="38" spans="1:2" ht="24" thickBot="1" x14ac:dyDescent="0.4">
      <c r="A38" s="9" t="s">
        <v>16</v>
      </c>
      <c r="B38" s="10">
        <f ca="1">DSUM(registrosIndustria,"Monto",auxiliares!F39:I41)</f>
        <v>152</v>
      </c>
    </row>
    <row r="39" spans="1:2" ht="23.25" x14ac:dyDescent="0.35">
      <c r="A39" s="27" t="s">
        <v>61</v>
      </c>
      <c r="B39" s="11">
        <f ca="1">SUM(B33:B38)</f>
        <v>4641.9799999999996</v>
      </c>
    </row>
    <row r="41" spans="1:2" ht="15.75" x14ac:dyDescent="0.25">
      <c r="A41" s="33" t="s">
        <v>62</v>
      </c>
      <c r="B41" s="11">
        <f ca="1">DSUM(registrosIndustria,"Monto",auxiliares!F13:I16)</f>
        <v>4692</v>
      </c>
    </row>
  </sheetData>
  <conditionalFormatting sqref="C10">
    <cfRule type="cellIs" dxfId="10" priority="2" operator="greaterThan">
      <formula>0</formula>
    </cfRule>
  </conditionalFormatting>
  <conditionalFormatting sqref="C1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5C77-2B51-4734-B728-CD2DAE27613C}">
  <sheetPr codeName="Hoja4"/>
  <dimension ref="A1:L41"/>
  <sheetViews>
    <sheetView workbookViewId="0">
      <selection activeCell="C18" sqref="C18"/>
    </sheetView>
  </sheetViews>
  <sheetFormatPr baseColWidth="10" defaultRowHeight="15" x14ac:dyDescent="0.25"/>
  <cols>
    <col min="1" max="1" width="19.28515625" customWidth="1"/>
    <col min="2" max="2" width="14.7109375" customWidth="1"/>
    <col min="3" max="3" width="17.7109375" customWidth="1"/>
    <col min="4" max="4" width="15.28515625" customWidth="1"/>
    <col min="7" max="7" width="17.42578125" bestFit="1" customWidth="1"/>
    <col min="10" max="10" width="13.7109375" customWidth="1"/>
    <col min="12" max="12" width="15.85546875" customWidth="1"/>
  </cols>
  <sheetData>
    <row r="1" spans="1:12" x14ac:dyDescent="0.25">
      <c r="A1" s="4" t="s">
        <v>8</v>
      </c>
      <c r="C1" s="5" t="s">
        <v>2</v>
      </c>
    </row>
    <row r="2" spans="1:12" x14ac:dyDescent="0.25">
      <c r="A2" s="2" t="s">
        <v>9</v>
      </c>
      <c r="C2" s="2" t="s">
        <v>13</v>
      </c>
      <c r="E2" s="12"/>
      <c r="F2" t="s">
        <v>48</v>
      </c>
      <c r="K2" s="12"/>
      <c r="L2" t="s">
        <v>52</v>
      </c>
    </row>
    <row r="3" spans="1:12" x14ac:dyDescent="0.25">
      <c r="A3" s="2" t="s">
        <v>10</v>
      </c>
      <c r="C3" s="2" t="s">
        <v>14</v>
      </c>
      <c r="F3" s="16" t="s">
        <v>1</v>
      </c>
      <c r="G3" s="17" t="s">
        <v>2</v>
      </c>
      <c r="H3" s="17" t="s">
        <v>3</v>
      </c>
      <c r="I3" s="16" t="s">
        <v>1</v>
      </c>
      <c r="J3" s="17" t="s">
        <v>2</v>
      </c>
      <c r="L3" s="2" t="s">
        <v>28</v>
      </c>
    </row>
    <row r="4" spans="1:12" x14ac:dyDescent="0.25">
      <c r="A4" s="2" t="s">
        <v>11</v>
      </c>
      <c r="C4" s="2" t="s">
        <v>15</v>
      </c>
      <c r="F4" s="12" t="str">
        <f>CONCATENATE("&gt;",Ajustes!B3)</f>
        <v>&gt;43709</v>
      </c>
      <c r="G4" t="s">
        <v>37</v>
      </c>
      <c r="H4" t="s">
        <v>9</v>
      </c>
      <c r="I4" s="12" t="str">
        <f ca="1">CONCATENATE("&lt;=",Ajustes!B4)</f>
        <v>&lt;=43737</v>
      </c>
      <c r="J4" t="s">
        <v>38</v>
      </c>
      <c r="L4" s="2" t="s">
        <v>25</v>
      </c>
    </row>
    <row r="5" spans="1:12" x14ac:dyDescent="0.25">
      <c r="A5" s="2" t="s">
        <v>59</v>
      </c>
      <c r="C5" s="2" t="s">
        <v>16</v>
      </c>
      <c r="L5" s="2" t="s">
        <v>29</v>
      </c>
    </row>
    <row r="6" spans="1:12" x14ac:dyDescent="0.25">
      <c r="A6" s="2" t="s">
        <v>12</v>
      </c>
      <c r="C6" s="2" t="s">
        <v>35</v>
      </c>
      <c r="L6" s="2" t="s">
        <v>27</v>
      </c>
    </row>
    <row r="7" spans="1:12" x14ac:dyDescent="0.25">
      <c r="C7" s="2" t="s">
        <v>36</v>
      </c>
      <c r="F7" t="s">
        <v>49</v>
      </c>
      <c r="L7" s="2" t="s">
        <v>16</v>
      </c>
    </row>
    <row r="8" spans="1:12" x14ac:dyDescent="0.25">
      <c r="F8" s="16" t="s">
        <v>1</v>
      </c>
      <c r="G8" s="17" t="s">
        <v>2</v>
      </c>
      <c r="H8" s="17" t="s">
        <v>3</v>
      </c>
      <c r="I8" s="16" t="s">
        <v>1</v>
      </c>
      <c r="J8" s="17" t="s">
        <v>2</v>
      </c>
      <c r="L8" s="2" t="s">
        <v>50</v>
      </c>
    </row>
    <row r="9" spans="1:12" x14ac:dyDescent="0.25">
      <c r="F9" s="12" t="str">
        <f>CONCATENATE("&gt;",Ajustes!B3)</f>
        <v>&gt;43709</v>
      </c>
      <c r="G9" t="s">
        <v>37</v>
      </c>
      <c r="H9" t="s">
        <v>10</v>
      </c>
      <c r="I9" s="12" t="str">
        <f ca="1">CONCATENATE("&lt;=",Ajustes!B4)</f>
        <v>&lt;=43737</v>
      </c>
      <c r="J9" t="s">
        <v>38</v>
      </c>
      <c r="L9" s="2" t="s">
        <v>51</v>
      </c>
    </row>
    <row r="10" spans="1:12" x14ac:dyDescent="0.25">
      <c r="L10" s="2" t="s">
        <v>71</v>
      </c>
    </row>
    <row r="12" spans="1:12" x14ac:dyDescent="0.25">
      <c r="F12" t="s">
        <v>60</v>
      </c>
    </row>
    <row r="13" spans="1:12" x14ac:dyDescent="0.25">
      <c r="A13" t="s">
        <v>72</v>
      </c>
      <c r="B13" s="2" t="s">
        <v>5</v>
      </c>
      <c r="F13" s="16" t="s">
        <v>1</v>
      </c>
      <c r="G13" s="17" t="s">
        <v>2</v>
      </c>
      <c r="H13" s="17" t="s">
        <v>3</v>
      </c>
      <c r="I13" s="16" t="s">
        <v>1</v>
      </c>
    </row>
    <row r="14" spans="1:12" x14ac:dyDescent="0.25">
      <c r="A14" t="s">
        <v>73</v>
      </c>
      <c r="B14" s="11">
        <v>39.200000000000003</v>
      </c>
      <c r="F14" s="12"/>
      <c r="I14" s="12"/>
    </row>
    <row r="15" spans="1:12" x14ac:dyDescent="0.25">
      <c r="A15" t="s">
        <v>30</v>
      </c>
      <c r="B15" s="11">
        <v>12</v>
      </c>
      <c r="F15" s="12" t="str">
        <f>CONCATENATE("&gt;",Ajustes!B3)</f>
        <v>&gt;43709</v>
      </c>
      <c r="H15" t="s">
        <v>59</v>
      </c>
      <c r="I15" s="12" t="str">
        <f ca="1">CONCATENATE("&lt;=",Ajustes!B4)</f>
        <v>&lt;=43737</v>
      </c>
    </row>
    <row r="16" spans="1:12" x14ac:dyDescent="0.25">
      <c r="A16" t="s">
        <v>31</v>
      </c>
      <c r="B16" s="11">
        <v>12</v>
      </c>
      <c r="F16" s="12" t="str">
        <f>CONCATENATE("&gt;",Ajustes!B3)</f>
        <v>&gt;43709</v>
      </c>
      <c r="H16" t="s">
        <v>12</v>
      </c>
      <c r="I16" s="12" t="str">
        <f ca="1">CONCATENATE("&lt;=",Ajustes!B4)</f>
        <v>&lt;=43737</v>
      </c>
    </row>
    <row r="17" spans="1:9" x14ac:dyDescent="0.25">
      <c r="A17" t="s">
        <v>71</v>
      </c>
      <c r="B17" s="11">
        <v>50.02</v>
      </c>
    </row>
    <row r="18" spans="1:9" x14ac:dyDescent="0.25">
      <c r="F18" t="s">
        <v>63</v>
      </c>
    </row>
    <row r="19" spans="1:9" x14ac:dyDescent="0.25">
      <c r="F19" s="16" t="s">
        <v>1</v>
      </c>
      <c r="G19" s="17" t="s">
        <v>2</v>
      </c>
      <c r="H19" s="17" t="s">
        <v>3</v>
      </c>
      <c r="I19" s="16" t="s">
        <v>1</v>
      </c>
    </row>
    <row r="20" spans="1:9" x14ac:dyDescent="0.25">
      <c r="F20" s="12" t="str">
        <f>CONCATENATE("&gt;",Ajustes!$B$3)</f>
        <v>&gt;43709</v>
      </c>
      <c r="G20" t="str">
        <f>"=Alquiler"</f>
        <v>=Alquiler</v>
      </c>
      <c r="I20" s="12" t="str">
        <f ca="1">CONCATENATE("&lt;=",Ajustes!$B$4)</f>
        <v>&lt;=43737</v>
      </c>
    </row>
    <row r="22" spans="1:9" x14ac:dyDescent="0.25">
      <c r="F22" t="s">
        <v>64</v>
      </c>
    </row>
    <row r="23" spans="1:9" x14ac:dyDescent="0.25">
      <c r="F23" s="16" t="s">
        <v>1</v>
      </c>
      <c r="G23" s="17" t="s">
        <v>2</v>
      </c>
      <c r="H23" s="17" t="s">
        <v>3</v>
      </c>
      <c r="I23" s="16" t="s">
        <v>1</v>
      </c>
    </row>
    <row r="24" spans="1:9" x14ac:dyDescent="0.25">
      <c r="F24" s="12" t="str">
        <f>CONCATENATE("&gt;",Ajustes!$B$3)</f>
        <v>&gt;43709</v>
      </c>
      <c r="G24" t="s">
        <v>29</v>
      </c>
      <c r="I24" s="12" t="str">
        <f ca="1">CONCATENATE("&lt;=",Ajustes!$B$4)</f>
        <v>&lt;=43737</v>
      </c>
    </row>
    <row r="26" spans="1:9" x14ac:dyDescent="0.25">
      <c r="F26" t="s">
        <v>65</v>
      </c>
    </row>
    <row r="27" spans="1:9" x14ac:dyDescent="0.25">
      <c r="F27" s="16" t="s">
        <v>1</v>
      </c>
      <c r="G27" s="17" t="s">
        <v>2</v>
      </c>
      <c r="H27" s="17" t="s">
        <v>3</v>
      </c>
      <c r="I27" s="16" t="s">
        <v>1</v>
      </c>
    </row>
    <row r="28" spans="1:9" x14ac:dyDescent="0.25">
      <c r="F28" s="12" t="str">
        <f>CONCATENATE("&gt;",Ajustes!$B$3)</f>
        <v>&gt;43709</v>
      </c>
      <c r="G28" t="s">
        <v>28</v>
      </c>
      <c r="I28" s="12" t="str">
        <f ca="1">CONCATENATE("&lt;=",Ajustes!$B$4)</f>
        <v>&lt;=43737</v>
      </c>
    </row>
    <row r="30" spans="1:9" x14ac:dyDescent="0.25">
      <c r="F30" t="s">
        <v>66</v>
      </c>
    </row>
    <row r="31" spans="1:9" x14ac:dyDescent="0.25">
      <c r="F31" s="16" t="s">
        <v>1</v>
      </c>
      <c r="G31" s="17" t="s">
        <v>2</v>
      </c>
      <c r="H31" s="17" t="s">
        <v>3</v>
      </c>
      <c r="I31" s="16" t="s">
        <v>1</v>
      </c>
    </row>
    <row r="32" spans="1:9" x14ac:dyDescent="0.25">
      <c r="F32" s="12" t="str">
        <f>CONCATENATE("&gt;",Ajustes!$B$3)</f>
        <v>&gt;43709</v>
      </c>
      <c r="G32" t="s">
        <v>27</v>
      </c>
      <c r="I32" s="12" t="str">
        <f ca="1">CONCATENATE("&lt;=",Ajustes!$B$4)</f>
        <v>&lt;=43737</v>
      </c>
    </row>
    <row r="34" spans="6:9" x14ac:dyDescent="0.25">
      <c r="F34" t="s">
        <v>68</v>
      </c>
    </row>
    <row r="35" spans="6:9" x14ac:dyDescent="0.25">
      <c r="F35" s="16" t="s">
        <v>1</v>
      </c>
      <c r="G35" s="17" t="s">
        <v>2</v>
      </c>
      <c r="H35" s="17" t="s">
        <v>3</v>
      </c>
      <c r="I35" s="16" t="s">
        <v>1</v>
      </c>
    </row>
    <row r="36" spans="6:9" x14ac:dyDescent="0.25">
      <c r="F36" s="12" t="str">
        <f>CONCATENATE("&gt;",Ajustes!$B$3)</f>
        <v>&gt;43709</v>
      </c>
      <c r="G36" t="s">
        <v>50</v>
      </c>
      <c r="I36" s="12" t="str">
        <f ca="1">CONCATENATE("&lt;=",Ajustes!$B$4)</f>
        <v>&lt;=43737</v>
      </c>
    </row>
    <row r="38" spans="6:9" x14ac:dyDescent="0.25">
      <c r="F38" t="s">
        <v>67</v>
      </c>
    </row>
    <row r="39" spans="6:9" x14ac:dyDescent="0.25">
      <c r="F39" s="16" t="s">
        <v>1</v>
      </c>
      <c r="G39" s="17" t="s">
        <v>2</v>
      </c>
      <c r="H39" s="17" t="s">
        <v>3</v>
      </c>
      <c r="I39" s="16" t="s">
        <v>1</v>
      </c>
    </row>
    <row r="40" spans="6:9" x14ac:dyDescent="0.25">
      <c r="F40" s="12" t="str">
        <f>CONCATENATE("&gt;",Ajustes!$B$3)</f>
        <v>&gt;43709</v>
      </c>
      <c r="G40" t="s">
        <v>51</v>
      </c>
      <c r="I40" s="12" t="str">
        <f ca="1">CONCATENATE("&lt;=",Ajustes!$B$4)</f>
        <v>&lt;=43737</v>
      </c>
    </row>
    <row r="41" spans="6:9" x14ac:dyDescent="0.25">
      <c r="F41" s="12" t="str">
        <f>CONCATENATE("&gt;",Ajustes!$B$3)</f>
        <v>&gt;43709</v>
      </c>
      <c r="G41" t="s">
        <v>16</v>
      </c>
      <c r="I41" s="12" t="str">
        <f ca="1">CONCATENATE("&lt;=",Ajustes!$B$4)</f>
        <v>&lt;=43737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Registro</vt:lpstr>
      <vt:lpstr>bdDiarios</vt:lpstr>
      <vt:lpstr>bdIndustria</vt:lpstr>
      <vt:lpstr>Ajustes</vt:lpstr>
      <vt:lpstr>auxiliares</vt:lpstr>
      <vt:lpstr>detalleVd</vt:lpstr>
      <vt:lpstr>gastosFijos</vt:lpstr>
      <vt:lpstr>lDetalle</vt:lpstr>
      <vt:lpstr>lPagadores</vt:lpstr>
      <vt:lpstr>RegistrosDiarios</vt:lpstr>
      <vt:lpstr>registrosIndustria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</cp:lastModifiedBy>
  <dcterms:created xsi:type="dcterms:W3CDTF">2015-06-05T18:19:34Z</dcterms:created>
  <dcterms:modified xsi:type="dcterms:W3CDTF">2019-09-29T21:44:12Z</dcterms:modified>
</cp:coreProperties>
</file>